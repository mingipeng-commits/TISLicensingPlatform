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期季度總覽" sheetId="1" state="visible" r:id="rId3"/>
    <sheet name="Q4Y1 分潤明細" sheetId="2" state="visible" r:id="rId4"/>
    <sheet name="開立發票參考" sheetId="3" state="visible" r:id="rId5"/>
  </sheets>
  <definedNames>
    <definedName function="false" hidden="false" localSheetId="1" name="_xlnm.Print_Area" vbProcedure="false">'Q4Y1 分潤明細'!$B$1:$K$42</definedName>
    <definedName function="false" hidden="false" localSheetId="0" name="_xlnm.Print_Area" vbProcedure="false">全期季度總覽!$B$1:$H$30</definedName>
    <definedName function="false" hidden="false" localSheetId="2" name="_xlnm.Print_Area" vbProcedure="false">開立發票參考!$B$1:$E$38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<sst xmlns="http://schemas.openxmlformats.org/spreadsheetml/2006/main" count="176" uniqueCount="151">
  <si>
    <r>
      <rPr>
        <b val="true"/>
        <sz val="14"/>
        <color rgb="FFFFFFFF"/>
        <rFont val="DejaVu Sans"/>
        <family val="2"/>
      </rPr>
      <t xml:space="preserve">泰然智財策略 — 工研院（</t>
    </r>
    <r>
      <rPr>
        <b val="true"/>
        <sz val="14"/>
        <color rgb="FFFFFFFF"/>
        <rFont val="Arial"/>
        <family val="0"/>
        <charset val="1"/>
      </rPr>
      <t xml:space="preserve">Licensor 1</t>
    </r>
    <r>
      <rPr>
        <b val="true"/>
        <sz val="14"/>
        <color rgb="FFFFFFFF"/>
        <rFont val="DejaVu Sans"/>
        <family val="2"/>
      </rPr>
      <t xml:space="preserve">）全期季度分潤總覽</t>
    </r>
  </si>
  <si>
    <r>
      <rPr>
        <sz val="10"/>
        <color rgb="FFFFFFFF"/>
        <rFont val="DejaVu Sans"/>
        <family val="2"/>
      </rPr>
      <t xml:space="preserve">依據 </t>
    </r>
    <r>
      <rPr>
        <sz val="10"/>
        <color rgb="FFFFFFFF"/>
        <rFont val="Arial"/>
        <family val="0"/>
        <charset val="1"/>
      </rPr>
      <t xml:space="preserve">TIS </t>
    </r>
    <r>
      <rPr>
        <sz val="10"/>
        <color rgb="FFFFFFFF"/>
        <rFont val="DejaVu Sans"/>
        <family val="2"/>
      </rPr>
      <t xml:space="preserve">授權平台收益分潤模擬 </t>
    </r>
    <r>
      <rPr>
        <sz val="10"/>
        <color rgb="FFFFFFFF"/>
        <rFont val="Arial"/>
        <family val="0"/>
        <charset val="1"/>
      </rPr>
      <t xml:space="preserve">ver. 6.3.0 — Renewal Scenario</t>
    </r>
  </si>
  <si>
    <r>
      <rPr>
        <sz val="9"/>
        <color rgb="FFFFFFFF"/>
        <rFont val="Arial"/>
        <family val="0"/>
        <charset val="1"/>
      </rPr>
      <t xml:space="preserve">ver. 1.2.0 </t>
    </r>
    <r>
      <rPr>
        <sz val="9"/>
        <color rgb="FFFFFFFF"/>
        <rFont val="DejaVu Sans"/>
        <family val="2"/>
      </rPr>
      <t xml:space="preserve">｜ </t>
    </r>
    <r>
      <rPr>
        <sz val="9"/>
        <color rgb="FFFFFFFF"/>
        <rFont val="Arial"/>
        <family val="0"/>
        <charset val="1"/>
      </rPr>
      <t xml:space="preserve">2026-03-28 02:25 </t>
    </r>
    <r>
      <rPr>
        <sz val="9"/>
        <color rgb="FFFFFFFF"/>
        <rFont val="DejaVu Sans"/>
        <family val="2"/>
      </rPr>
      <t xml:space="preserve">｜ 版本紀錄詳見 </t>
    </r>
    <r>
      <rPr>
        <sz val="9"/>
        <color rgb="FFFFFFFF"/>
        <rFont val="Arial"/>
        <family val="0"/>
        <charset val="1"/>
      </rPr>
      <t xml:space="preserve">Ver_Control.md</t>
    </r>
  </si>
  <si>
    <t xml:space="preserve">授權方</t>
  </si>
  <si>
    <r>
      <rPr>
        <sz val="10"/>
        <color rgb="FF0000FF"/>
        <rFont val="DejaVu Sans"/>
        <family val="2"/>
      </rPr>
      <t xml:space="preserve">財團法人工業技術研究院（工研院 </t>
    </r>
    <r>
      <rPr>
        <sz val="10"/>
        <color rgb="FF0000FF"/>
        <rFont val="Arial"/>
        <family val="0"/>
        <charset val="1"/>
      </rPr>
      <t xml:space="preserve">/ ITRI</t>
    </r>
    <r>
      <rPr>
        <sz val="10"/>
        <color rgb="FF0000FF"/>
        <rFont val="DejaVu Sans"/>
        <family val="2"/>
      </rPr>
      <t xml:space="preserve">）</t>
    </r>
  </si>
  <si>
    <t xml:space="preserve">授權方編號</t>
  </si>
  <si>
    <t xml:space="preserve">LIC-2026-0001</t>
  </si>
  <si>
    <t xml:space="preserve">入池專利數</t>
  </si>
  <si>
    <r>
      <rPr>
        <sz val="10"/>
        <color rgb="FF0000FF"/>
        <rFont val="Arial"/>
        <family val="0"/>
        <charset val="1"/>
      </rPr>
      <t xml:space="preserve">500 </t>
    </r>
    <r>
      <rPr>
        <sz val="10"/>
        <color rgb="FF0000FF"/>
        <rFont val="DejaVu Sans"/>
        <family val="2"/>
      </rPr>
      <t xml:space="preserve">件</t>
    </r>
  </si>
  <si>
    <t xml:space="preserve">被授權專利數（唯一）</t>
  </si>
  <si>
    <r>
      <rPr>
        <sz val="10"/>
        <color rgb="FF0000FF"/>
        <rFont val="Arial"/>
        <family val="0"/>
        <charset val="1"/>
      </rPr>
      <t xml:space="preserve">65 </t>
    </r>
    <r>
      <rPr>
        <sz val="10"/>
        <color rgb="FF0000FF"/>
        <rFont val="DejaVu Sans"/>
        <family val="2"/>
      </rPr>
      <t xml:space="preserve">件（被訂閱率 </t>
    </r>
    <r>
      <rPr>
        <sz val="10"/>
        <color rgb="FF0000FF"/>
        <rFont val="Arial"/>
        <family val="0"/>
        <charset val="1"/>
      </rPr>
      <t xml:space="preserve">13.0%</t>
    </r>
    <r>
      <rPr>
        <sz val="10"/>
        <color rgb="FF0000FF"/>
        <rFont val="DejaVu Sans"/>
        <family val="2"/>
      </rPr>
      <t xml:space="preserve">）</t>
    </r>
  </si>
  <si>
    <t xml:space="preserve">季度</t>
  </si>
  <si>
    <t xml:space="preserve">活躍
被授權人</t>
  </si>
  <si>
    <t xml:space="preserve">本季平台
營收（含稅）</t>
  </si>
  <si>
    <r>
      <rPr>
        <b val="true"/>
        <sz val="11"/>
        <color rgb="FFFFFFFF"/>
        <rFont val="DejaVu Sans"/>
        <family val="2"/>
      </rPr>
      <t xml:space="preserve">營業稅
</t>
    </r>
    <r>
      <rPr>
        <b val="true"/>
        <sz val="11"/>
        <color rgb="FFFFFFFF"/>
        <rFont val="Arial"/>
        <family val="0"/>
        <charset val="1"/>
      </rPr>
      <t xml:space="preserve">(÷1.05×5%)</t>
    </r>
  </si>
  <si>
    <t xml:space="preserve">扣稅後
淨營收</t>
  </si>
  <si>
    <t xml:space="preserve">工研院發票
總額（含稅）</t>
  </si>
  <si>
    <r>
      <rPr>
        <b val="true"/>
        <sz val="11"/>
        <color rgb="FFFFFFFF"/>
        <rFont val="DejaVu Sans"/>
        <family val="2"/>
      </rPr>
      <t xml:space="preserve">其中未稅
</t>
    </r>
    <r>
      <rPr>
        <b val="true"/>
        <sz val="11"/>
        <color rgb="FFFFFFFF"/>
        <rFont val="Arial"/>
        <family val="0"/>
        <charset val="1"/>
      </rPr>
      <t xml:space="preserve">(÷1.05)</t>
    </r>
  </si>
  <si>
    <t xml:space="preserve">Y1 Q1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</si>
  <si>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</si>
  <si>
    <t xml:space="preserve">Y1 Q2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</si>
  <si>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Y1</t>
    </r>
  </si>
  <si>
    <t xml:space="preserve">Y1 Q3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</si>
  <si>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Y1, C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Y1</t>
    </r>
  </si>
  <si>
    <t xml:space="preserve">Y1 Q4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</si>
  <si>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Y1, C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Y1, A </t>
    </r>
    <r>
      <rPr>
        <sz val="8"/>
        <rFont val="DejaVu Sans"/>
        <family val="2"/>
      </rPr>
      <t xml:space="preserve">公司</t>
    </r>
  </si>
  <si>
    <t xml:space="preserve">Y2 Q1</t>
  </si>
  <si>
    <t xml:space="preserve">Y2 Q2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</si>
  <si>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Y2, C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Y1</t>
    </r>
  </si>
  <si>
    <t xml:space="preserve">Y2 Q3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</si>
  <si>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Y2, C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Y2</t>
    </r>
  </si>
  <si>
    <t xml:space="preserve">Y2 Q4</t>
  </si>
  <si>
    <t xml:space="preserve">Y3 Q1</t>
  </si>
  <si>
    <t xml:space="preserve">Y3 Q2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</si>
  <si>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Y3, C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Y2</t>
    </r>
  </si>
  <si>
    <t xml:space="preserve">Y3 Q3</t>
  </si>
  <si>
    <r>
      <rPr>
        <sz val="8"/>
        <rFont val="Arial"/>
        <family val="0"/>
        <charset val="1"/>
      </rPr>
      <t xml:space="preserve">D </t>
    </r>
    <r>
      <rPr>
        <sz val="8"/>
        <rFont val="DejaVu Sans"/>
        <family val="2"/>
      </rPr>
      <t xml:space="preserve">公司</t>
    </r>
    <r>
      <rPr>
        <sz val="8"/>
        <rFont val="Arial"/>
        <family val="0"/>
        <charset val="1"/>
      </rPr>
      <t xml:space="preserve">, 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Y3</t>
    </r>
  </si>
  <si>
    <t xml:space="preserve">Y3 Q4</t>
  </si>
  <si>
    <t xml:space="preserve">Y4 Q1</t>
  </si>
  <si>
    <r>
      <rPr>
        <sz val="8"/>
        <rFont val="Arial"/>
        <family val="0"/>
        <charset val="1"/>
      </rPr>
      <t xml:space="preserve">B </t>
    </r>
    <r>
      <rPr>
        <sz val="8"/>
        <rFont val="DejaVu Sans"/>
        <family val="2"/>
      </rPr>
      <t xml:space="preserve">公司 </t>
    </r>
    <r>
      <rPr>
        <sz val="8"/>
        <rFont val="Arial"/>
        <family val="0"/>
        <charset val="1"/>
      </rPr>
      <t xml:space="preserve">Y3</t>
    </r>
  </si>
  <si>
    <t xml:space="preserve">Y4 Q2</t>
  </si>
  <si>
    <t xml:space="preserve">—</t>
  </si>
  <si>
    <t xml:space="preserve">Y4 Q3</t>
  </si>
  <si>
    <t xml:space="preserve">Y4 Q4</t>
  </si>
  <si>
    <t xml:space="preserve">全期合計</t>
  </si>
  <si>
    <r>
      <rPr>
        <sz val="9"/>
        <color rgb="FF666666"/>
        <rFont val="DejaVu Sans"/>
        <family val="2"/>
      </rPr>
      <t xml:space="preserve">※ 黃色標記列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本報告詳細展開之季度（</t>
    </r>
    <r>
      <rPr>
        <sz val="9"/>
        <color rgb="FF666666"/>
        <rFont val="Arial"/>
        <family val="0"/>
        <charset val="1"/>
      </rPr>
      <t xml:space="preserve">Y1 Q4</t>
    </r>
    <r>
      <rPr>
        <sz val="9"/>
        <color rgb="FF666666"/>
        <rFont val="DejaVu Sans"/>
        <family val="2"/>
      </rPr>
      <t xml:space="preserve">）。各季度分潤按季結算，季末（</t>
    </r>
    <r>
      <rPr>
        <sz val="9"/>
        <color rgb="FF666666"/>
        <rFont val="Arial"/>
        <family val="0"/>
        <charset val="1"/>
      </rPr>
      <t xml:space="preserve">3/6/9/12</t>
    </r>
    <r>
      <rPr>
        <sz val="9"/>
        <color rgb="FF666666"/>
        <rFont val="DejaVu Sans"/>
        <family val="2"/>
      </rPr>
      <t xml:space="preserve">月底）統一撥付。</t>
    </r>
    <r>
      <rPr>
        <sz val="9"/>
        <color rgb="FF666666"/>
        <rFont val="Arial"/>
        <family val="0"/>
        <charset val="1"/>
      </rPr>
      <t xml:space="preserve">TIS </t>
    </r>
    <r>
      <rPr>
        <sz val="9"/>
        <color rgb="FF666666"/>
        <rFont val="DejaVu Sans"/>
        <family val="2"/>
      </rPr>
      <t xml:space="preserve">撥付之分潤金額已含 </t>
    </r>
    <r>
      <rPr>
        <sz val="9"/>
        <color rgb="FF666666"/>
        <rFont val="Arial"/>
        <family val="0"/>
        <charset val="1"/>
      </rPr>
      <t xml:space="preserve">5% </t>
    </r>
    <r>
      <rPr>
        <sz val="9"/>
        <color rgb="FF666666"/>
        <rFont val="DejaVu Sans"/>
        <family val="2"/>
      </rPr>
      <t xml:space="preserve">營業稅。工研院開立發票時：未稅金額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分潤 </t>
    </r>
    <r>
      <rPr>
        <sz val="9"/>
        <color rgb="FF666666"/>
        <rFont val="Arial"/>
        <family val="0"/>
        <charset val="1"/>
      </rPr>
      <t xml:space="preserve">÷ 1.05</t>
    </r>
    <r>
      <rPr>
        <sz val="9"/>
        <color rgb="FF666666"/>
        <rFont val="DejaVu Sans"/>
        <family val="2"/>
      </rPr>
      <t xml:space="preserve">，營業稅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分潤 − 未稅（此稅額繳國稅局）。</t>
    </r>
  </si>
  <si>
    <r>
      <rPr>
        <sz val="9"/>
        <color rgb="FF666666"/>
        <rFont val="DejaVu Sans"/>
        <family val="2"/>
      </rPr>
      <t xml:space="preserve">※ 營收分配瀑布：含稅營收 → 扣營業稅</t>
    </r>
    <r>
      <rPr>
        <sz val="9"/>
        <color rgb="FF666666"/>
        <rFont val="Arial"/>
        <family val="0"/>
        <charset val="1"/>
      </rPr>
      <t xml:space="preserve">(÷1.05×5%) → </t>
    </r>
    <r>
      <rPr>
        <sz val="9"/>
        <color rgb="FF666666"/>
        <rFont val="DejaVu Sans"/>
        <family val="2"/>
      </rPr>
      <t xml:space="preserve">扣</t>
    </r>
    <r>
      <rPr>
        <sz val="9"/>
        <color rgb="FF666666"/>
        <rFont val="Arial"/>
        <family val="0"/>
        <charset val="1"/>
      </rPr>
      <t xml:space="preserve">15%</t>
    </r>
    <r>
      <rPr>
        <sz val="9"/>
        <color rgb="FF666666"/>
        <rFont val="DejaVu Sans"/>
        <family val="2"/>
      </rPr>
      <t xml:space="preserve">平台費</t>
    </r>
    <r>
      <rPr>
        <sz val="9"/>
        <color rgb="FF666666"/>
        <rFont val="Arial"/>
        <family val="0"/>
        <charset val="1"/>
      </rPr>
      <t xml:space="preserve">(TIS) → </t>
    </r>
    <r>
      <rPr>
        <sz val="9"/>
        <color rgb="FF666666"/>
        <rFont val="DejaVu Sans"/>
        <family val="2"/>
      </rPr>
      <t xml:space="preserve">可分配池</t>
    </r>
    <r>
      <rPr>
        <sz val="9"/>
        <color rgb="FF666666"/>
        <rFont val="Arial"/>
        <family val="0"/>
        <charset val="1"/>
      </rPr>
      <t xml:space="preserve">×75%</t>
    </r>
    <r>
      <rPr>
        <sz val="9"/>
        <color rgb="FF666666"/>
        <rFont val="DejaVu Sans"/>
        <family val="2"/>
      </rPr>
      <t xml:space="preserve">供應商</t>
    </r>
    <r>
      <rPr>
        <sz val="9"/>
        <color rgb="FF666666"/>
        <rFont val="Arial"/>
        <family val="0"/>
        <charset val="1"/>
      </rPr>
      <t xml:space="preserve">/25%TIS → </t>
    </r>
    <r>
      <rPr>
        <sz val="9"/>
        <color rgb="FF666666"/>
        <rFont val="DejaVu Sans"/>
        <family val="2"/>
      </rPr>
      <t xml:space="preserve">工研院依 </t>
    </r>
    <r>
      <rPr>
        <sz val="9"/>
        <color rgb="FF666666"/>
        <rFont val="Arial"/>
        <family val="0"/>
        <charset val="1"/>
      </rPr>
      <t xml:space="preserve">SABCD </t>
    </r>
    <r>
      <rPr>
        <sz val="9"/>
        <color rgb="FF666666"/>
        <rFont val="DejaVu Sans"/>
        <family val="2"/>
      </rPr>
      <t xml:space="preserve">加權佔比分配。權重：</t>
    </r>
    <r>
      <rPr>
        <sz val="9"/>
        <color rgb="FF666666"/>
        <rFont val="Arial"/>
        <family val="0"/>
        <charset val="1"/>
      </rPr>
      <t xml:space="preserve">S=3.0x, A=2.0x, B=1.5x, C=1.2x, D=1.0x</t>
    </r>
    <r>
      <rPr>
        <sz val="9"/>
        <color rgb="FF666666"/>
        <rFont val="DejaVu Sans"/>
        <family val="2"/>
      </rPr>
      <t xml:space="preserve">。</t>
    </r>
  </si>
  <si>
    <r>
      <rPr>
        <b val="true"/>
        <sz val="14"/>
        <color rgb="FFFFFFFF"/>
        <rFont val="DejaVu Sans"/>
        <family val="2"/>
      </rPr>
      <t xml:space="preserve">工研院 季度授權分潤結算明細 — </t>
    </r>
    <r>
      <rPr>
        <b val="true"/>
        <sz val="14"/>
        <color rgb="FFFFFFFF"/>
        <rFont val="Arial"/>
        <family val="0"/>
        <charset val="1"/>
      </rPr>
      <t xml:space="preserve">Y1 Q4</t>
    </r>
    <r>
      <rPr>
        <b val="true"/>
        <sz val="14"/>
        <color rgb="FFFFFFFF"/>
        <rFont val="DejaVu Sans"/>
        <family val="2"/>
      </rPr>
      <t xml:space="preserve">（</t>
    </r>
    <r>
      <rPr>
        <b val="true"/>
        <sz val="14"/>
        <color rgb="FFFFFFFF"/>
        <rFont val="Arial"/>
        <family val="0"/>
        <charset val="1"/>
      </rPr>
      <t xml:space="preserve">10</t>
    </r>
    <r>
      <rPr>
        <b val="true"/>
        <sz val="14"/>
        <color rgb="FFFFFFFF"/>
        <rFont val="DejaVu Sans"/>
        <family val="2"/>
      </rPr>
      <t xml:space="preserve">月</t>
    </r>
    <r>
      <rPr>
        <b val="true"/>
        <sz val="14"/>
        <color rgb="FFFFFFFF"/>
        <rFont val="Arial"/>
        <family val="0"/>
        <charset val="1"/>
      </rPr>
      <t xml:space="preserve">-12</t>
    </r>
    <r>
      <rPr>
        <b val="true"/>
        <sz val="14"/>
        <color rgb="FFFFFFFF"/>
        <rFont val="DejaVu Sans"/>
        <family val="2"/>
      </rPr>
      <t xml:space="preserve">月）</t>
    </r>
  </si>
  <si>
    <r>
      <rPr>
        <sz val="10"/>
        <color rgb="FFFFFFFF"/>
        <rFont val="DejaVu Sans"/>
        <family val="2"/>
      </rPr>
      <t xml:space="preserve">泰然智財策略股份有限公司 ｜ </t>
    </r>
    <r>
      <rPr>
        <sz val="10"/>
        <color rgb="FFFFFFFF"/>
        <rFont val="Arial"/>
        <family val="0"/>
        <charset val="1"/>
      </rPr>
      <t xml:space="preserve">ver. 1.2.0 </t>
    </r>
    <r>
      <rPr>
        <sz val="10"/>
        <color rgb="FFFFFFFF"/>
        <rFont val="DejaVu Sans"/>
        <family val="2"/>
      </rPr>
      <t xml:space="preserve">｜ </t>
    </r>
    <r>
      <rPr>
        <sz val="10"/>
        <color rgb="FFFFFFFF"/>
        <rFont val="Arial"/>
        <family val="0"/>
        <charset val="1"/>
      </rPr>
      <t xml:space="preserve">2026-03-28</t>
    </r>
  </si>
  <si>
    <t xml:space="preserve">報告編號</t>
  </si>
  <si>
    <t xml:space="preserve">TIS-QR-Y1Q4-ITRI-001</t>
  </si>
  <si>
    <t xml:space="preserve">結算期間</t>
  </si>
  <si>
    <r>
      <rPr>
        <sz val="10"/>
        <color rgb="FF0000FF"/>
        <rFont val="Arial"/>
        <family val="0"/>
        <charset val="1"/>
      </rPr>
      <t xml:space="preserve">Y1 </t>
    </r>
    <r>
      <rPr>
        <sz val="10"/>
        <color rgb="FF0000FF"/>
        <rFont val="DejaVu Sans"/>
        <family val="2"/>
      </rPr>
      <t xml:space="preserve">第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DejaVu Sans"/>
        <family val="2"/>
      </rPr>
      <t xml:space="preserve">季（第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DejaVu Sans"/>
        <family val="2"/>
      </rPr>
      <t xml:space="preserve">月</t>
    </r>
    <r>
      <rPr>
        <sz val="10"/>
        <color rgb="FF0000FF"/>
        <rFont val="Arial"/>
        <family val="0"/>
        <charset val="1"/>
      </rPr>
      <t xml:space="preserve">~</t>
    </r>
    <r>
      <rPr>
        <sz val="10"/>
        <color rgb="FF0000FF"/>
        <rFont val="DejaVu Sans"/>
        <family val="2"/>
      </rPr>
      <t xml:space="preserve">第</t>
    </r>
    <r>
      <rPr>
        <sz val="10"/>
        <color rgb="FF0000FF"/>
        <rFont val="Arial"/>
        <family val="0"/>
        <charset val="1"/>
      </rPr>
      <t xml:space="preserve">12</t>
    </r>
    <r>
      <rPr>
        <sz val="10"/>
        <color rgb="FF0000FF"/>
        <rFont val="DejaVu Sans"/>
        <family val="2"/>
      </rPr>
      <t xml:space="preserve">月）</t>
    </r>
  </si>
  <si>
    <t xml:space="preserve">報告日期</t>
  </si>
  <si>
    <r>
      <rPr>
        <sz val="10"/>
        <color rgb="FF0000FF"/>
        <rFont val="Arial"/>
        <family val="0"/>
        <charset val="1"/>
      </rPr>
      <t xml:space="preserve">Y1</t>
    </r>
    <r>
      <rPr>
        <sz val="10"/>
        <color rgb="FF0000FF"/>
        <rFont val="DejaVu Sans"/>
        <family val="2"/>
      </rPr>
      <t xml:space="preserve">年</t>
    </r>
    <r>
      <rPr>
        <sz val="10"/>
        <color rgb="FF0000FF"/>
        <rFont val="Arial"/>
        <family val="0"/>
        <charset val="1"/>
      </rPr>
      <t xml:space="preserve">12</t>
    </r>
    <r>
      <rPr>
        <sz val="10"/>
        <color rgb="FF0000FF"/>
        <rFont val="DejaVu Sans"/>
        <family val="2"/>
      </rPr>
      <t xml:space="preserve">月</t>
    </r>
    <r>
      <rPr>
        <sz val="10"/>
        <color rgb="FF0000FF"/>
        <rFont val="Arial"/>
        <family val="0"/>
        <charset val="1"/>
      </rPr>
      <t xml:space="preserve">31</t>
    </r>
    <r>
      <rPr>
        <sz val="10"/>
        <color rgb="FF0000FF"/>
        <rFont val="DejaVu Sans"/>
        <family val="2"/>
      </rPr>
      <t xml:space="preserve">日</t>
    </r>
  </si>
  <si>
    <t xml:space="preserve">報告版本</t>
  </si>
  <si>
    <t xml:space="preserve">V1.0</t>
  </si>
  <si>
    <r>
      <rPr>
        <b val="true"/>
        <sz val="11"/>
        <color rgb="FFFFFFFF"/>
        <rFont val="Arial"/>
        <family val="0"/>
        <charset val="1"/>
      </rPr>
      <t xml:space="preserve">A. </t>
    </r>
    <r>
      <rPr>
        <b val="true"/>
        <sz val="11"/>
        <color rgb="FFFFFFFF"/>
        <rFont val="DejaVu Sans"/>
        <family val="2"/>
      </rPr>
      <t xml:space="preserve">本季活躍被授權人及營收</t>
    </r>
  </si>
  <si>
    <t xml:space="preserve">被授權人</t>
  </si>
  <si>
    <t xml:space="preserve">產業</t>
  </si>
  <si>
    <t xml:space="preserve">訂閱期</t>
  </si>
  <si>
    <t xml:space="preserve">月費
（含稅）</t>
  </si>
  <si>
    <t xml:space="preserve">本季
活躍月數</t>
  </si>
  <si>
    <t xml:space="preserve">本季營收
（含稅）</t>
  </si>
  <si>
    <t xml:space="preserve">營業稅</t>
  </si>
  <si>
    <r>
      <rPr>
        <b val="true"/>
        <sz val="11"/>
        <color rgb="FFFFFFFF"/>
        <rFont val="DejaVu Sans"/>
        <family val="2"/>
      </rPr>
      <t xml:space="preserve">平台費
</t>
    </r>
    <r>
      <rPr>
        <b val="true"/>
        <sz val="11"/>
        <color rgb="FFFFFFFF"/>
        <rFont val="Arial"/>
        <family val="0"/>
        <charset val="1"/>
      </rPr>
      <t xml:space="preserve">(15%)</t>
    </r>
  </si>
  <si>
    <t xml:space="preserve">可分配池</t>
  </si>
  <si>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DejaVu Sans"/>
        <family val="2"/>
      </rPr>
      <t xml:space="preserve">公司</t>
    </r>
  </si>
  <si>
    <t xml:space="preserve">半導體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</si>
  <si>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</si>
  <si>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DejaVu Sans"/>
        <family val="2"/>
      </rPr>
      <t xml:space="preserve">公司 </t>
    </r>
    <r>
      <rPr>
        <b val="true"/>
        <sz val="10"/>
        <rFont val="Arial"/>
        <family val="0"/>
        <charset val="1"/>
      </rPr>
      <t xml:space="preserve">Y1</t>
    </r>
  </si>
  <si>
    <t xml:space="preserve">光電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</si>
  <si>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年</t>
    </r>
  </si>
  <si>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DejaVu Sans"/>
        <family val="2"/>
      </rPr>
      <t xml:space="preserve">公司 </t>
    </r>
    <r>
      <rPr>
        <b val="true"/>
        <sz val="10"/>
        <rFont val="Arial"/>
        <family val="0"/>
        <charset val="1"/>
      </rPr>
      <t xml:space="preserve">Y1</t>
    </r>
  </si>
  <si>
    <t xml:space="preserve">生技</t>
  </si>
  <si>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DejaVu Sans"/>
        <family val="2"/>
      </rPr>
      <t xml:space="preserve">公司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</si>
  <si>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個月</t>
    </r>
  </si>
  <si>
    <t xml:space="preserve">本季合計</t>
  </si>
  <si>
    <r>
      <rPr>
        <b val="true"/>
        <sz val="11"/>
        <color rgb="FFFFFFFF"/>
        <rFont val="Arial"/>
        <family val="0"/>
        <charset val="1"/>
      </rPr>
      <t xml:space="preserve">B. </t>
    </r>
    <r>
      <rPr>
        <b val="true"/>
        <sz val="11"/>
        <color rgb="FFFFFFFF"/>
        <rFont val="DejaVu Sans"/>
        <family val="2"/>
      </rPr>
      <t xml:space="preserve">工研院 </t>
    </r>
    <r>
      <rPr>
        <b val="true"/>
        <sz val="11"/>
        <color rgb="FFFFFFFF"/>
        <rFont val="Arial"/>
        <family val="0"/>
        <charset val="1"/>
      </rPr>
      <t xml:space="preserve">SABCD </t>
    </r>
    <r>
      <rPr>
        <b val="true"/>
        <sz val="11"/>
        <color rgb="FFFFFFFF"/>
        <rFont val="DejaVu Sans"/>
        <family val="2"/>
      </rPr>
      <t xml:space="preserve">加權分潤計算（逐被授權人）</t>
    </r>
  </si>
  <si>
    <t xml:space="preserve">工研院
件數</t>
  </si>
  <si>
    <t xml:space="preserve">S</t>
  </si>
  <si>
    <t xml:space="preserve">A</t>
  </si>
  <si>
    <t xml:space="preserve">B</t>
  </si>
  <si>
    <t xml:space="preserve">C</t>
  </si>
  <si>
    <t xml:space="preserve">D</t>
  </si>
  <si>
    <t xml:space="preserve">工研院
加權分</t>
  </si>
  <si>
    <t xml:space="preserve">產業
加權總分</t>
  </si>
  <si>
    <t xml:space="preserve">工研院
佔比</t>
  </si>
  <si>
    <r>
      <rPr>
        <b val="true"/>
        <sz val="11"/>
        <color rgb="FFFFFFFF"/>
        <rFont val="Arial"/>
        <family val="0"/>
        <charset val="1"/>
      </rPr>
      <t xml:space="preserve">C. </t>
    </r>
    <r>
      <rPr>
        <b val="true"/>
        <sz val="11"/>
        <color rgb="FFFFFFFF"/>
        <rFont val="DejaVu Sans"/>
        <family val="2"/>
      </rPr>
      <t xml:space="preserve">工研院本季分潤金額（供應商池 </t>
    </r>
    <r>
      <rPr>
        <b val="true"/>
        <sz val="11"/>
        <color rgb="FFFFFFFF"/>
        <rFont val="Arial"/>
        <family val="0"/>
        <charset val="1"/>
      </rPr>
      <t xml:space="preserve">× 75% × </t>
    </r>
    <r>
      <rPr>
        <b val="true"/>
        <sz val="11"/>
        <color rgb="FFFFFFFF"/>
        <rFont val="DejaVu Sans"/>
        <family val="2"/>
      </rPr>
      <t xml:space="preserve">工研院佔比）</t>
    </r>
  </si>
  <si>
    <r>
      <rPr>
        <b val="true"/>
        <sz val="11"/>
        <color rgb="FFFFFFFF"/>
        <rFont val="DejaVu Sans"/>
        <family val="2"/>
      </rPr>
      <t xml:space="preserve">可分配池
</t>
    </r>
    <r>
      <rPr>
        <b val="true"/>
        <sz val="11"/>
        <color rgb="FFFFFFFF"/>
        <rFont val="Arial"/>
        <family val="0"/>
        <charset val="1"/>
      </rPr>
      <t xml:space="preserve">(from A)</t>
    </r>
  </si>
  <si>
    <r>
      <rPr>
        <b val="true"/>
        <sz val="11"/>
        <color rgb="FFFFFFFF"/>
        <rFont val="DejaVu Sans"/>
        <family val="2"/>
      </rPr>
      <t xml:space="preserve">供應商池
</t>
    </r>
    <r>
      <rPr>
        <b val="true"/>
        <sz val="11"/>
        <color rgb="FFFFFFFF"/>
        <rFont val="Arial"/>
        <family val="0"/>
        <charset val="1"/>
      </rPr>
      <t xml:space="preserve">(×75%)</t>
    </r>
  </si>
  <si>
    <r>
      <rPr>
        <b val="true"/>
        <sz val="11"/>
        <color rgb="FFFFFFFF"/>
        <rFont val="DejaVu Sans"/>
        <family val="2"/>
      </rPr>
      <t xml:space="preserve">工研院佔比
</t>
    </r>
    <r>
      <rPr>
        <b val="true"/>
        <sz val="11"/>
        <color rgb="FFFFFFFF"/>
        <rFont val="Arial"/>
        <family val="0"/>
        <charset val="1"/>
      </rPr>
      <t xml:space="preserve">(from B)</t>
    </r>
  </si>
  <si>
    <t xml:space="preserve">工研院
分潤（未稅）</t>
  </si>
  <si>
    <r>
      <rPr>
        <b val="true"/>
        <sz val="11"/>
        <color rgb="FFFFFFFF"/>
        <rFont val="Arial"/>
        <family val="0"/>
        <charset val="1"/>
      </rPr>
      <t xml:space="preserve">D. </t>
    </r>
    <r>
      <rPr>
        <b val="true"/>
        <sz val="11"/>
        <color rgb="FFFFFFFF"/>
        <rFont val="DejaVu Sans"/>
        <family val="2"/>
      </rPr>
      <t xml:space="preserve">發票開立摘要</t>
    </r>
  </si>
  <si>
    <r>
      <rPr>
        <b val="true"/>
        <sz val="12"/>
        <color rgb="FFC00000"/>
        <rFont val="Arial"/>
        <family val="0"/>
        <charset val="1"/>
      </rPr>
      <t xml:space="preserve">(I) </t>
    </r>
    <r>
      <rPr>
        <b val="true"/>
        <sz val="12"/>
        <color rgb="FFC00000"/>
        <rFont val="DejaVu Sans"/>
        <family val="2"/>
      </rPr>
      <t xml:space="preserve">工研院本季發票總額（含稅）</t>
    </r>
  </si>
  <si>
    <r>
      <rPr>
        <b val="true"/>
        <sz val="10"/>
        <color rgb="FFC00000"/>
        <rFont val="DejaVu Sans"/>
        <family val="2"/>
      </rPr>
      <t xml:space="preserve">← 發票應開金額 </t>
    </r>
    <r>
      <rPr>
        <b val="true"/>
        <sz val="10"/>
        <color rgb="FFC00000"/>
        <rFont val="Arial"/>
        <family val="0"/>
        <charset val="1"/>
      </rPr>
      <t xml:space="preserve">= C</t>
    </r>
    <r>
      <rPr>
        <b val="true"/>
        <sz val="10"/>
        <color rgb="FFC00000"/>
        <rFont val="DejaVu Sans"/>
        <family val="2"/>
      </rPr>
      <t xml:space="preserve">區合計（已含稅）</t>
    </r>
  </si>
  <si>
    <r>
      <rPr>
        <b val="true"/>
        <sz val="11"/>
        <color rgb="FF1F3864"/>
        <rFont val="Arial"/>
        <family val="0"/>
        <charset val="1"/>
      </rPr>
      <t xml:space="preserve">(J) </t>
    </r>
    <r>
      <rPr>
        <b val="true"/>
        <sz val="11"/>
        <color rgb="FF1F3864"/>
        <rFont val="DejaVu Sans"/>
        <family val="2"/>
      </rPr>
      <t xml:space="preserve">其中未稅金額（</t>
    </r>
    <r>
      <rPr>
        <b val="true"/>
        <sz val="11"/>
        <color rgb="FF1F3864"/>
        <rFont val="Arial"/>
        <family val="0"/>
        <charset val="1"/>
      </rPr>
      <t xml:space="preserve">÷1.05</t>
    </r>
    <r>
      <rPr>
        <b val="true"/>
        <sz val="11"/>
        <color rgb="FF1F3864"/>
        <rFont val="DejaVu Sans"/>
        <family val="2"/>
      </rPr>
      <t xml:space="preserve">）</t>
    </r>
  </si>
  <si>
    <t xml:space="preserve">工研院實際淨收入</t>
  </si>
  <si>
    <r>
      <rPr>
        <b val="true"/>
        <sz val="11"/>
        <color rgb="FF1F3864"/>
        <rFont val="Arial"/>
        <family val="0"/>
        <charset val="1"/>
      </rPr>
      <t xml:space="preserve">(K) </t>
    </r>
    <r>
      <rPr>
        <b val="true"/>
        <sz val="11"/>
        <color rgb="FF1F3864"/>
        <rFont val="DejaVu Sans"/>
        <family val="2"/>
      </rPr>
      <t xml:space="preserve">其中營業稅（→國稅局）</t>
    </r>
  </si>
  <si>
    <r>
      <rPr>
        <sz val="9"/>
        <color rgb="FF666666"/>
        <rFont val="DejaVu Sans"/>
        <family val="2"/>
      </rPr>
      <t xml:space="preserve">工研院繳納國稅局之 </t>
    </r>
    <r>
      <rPr>
        <sz val="9"/>
        <color rgb="FF666666"/>
        <rFont val="Arial"/>
        <family val="0"/>
        <charset val="1"/>
      </rPr>
      <t xml:space="preserve">5% </t>
    </r>
    <r>
      <rPr>
        <sz val="9"/>
        <color rgb="FF666666"/>
        <rFont val="DejaVu Sans"/>
        <family val="2"/>
      </rPr>
      <t xml:space="preserve">營業稅</t>
    </r>
  </si>
  <si>
    <r>
      <rPr>
        <b val="true"/>
        <sz val="11"/>
        <color rgb="FF1F3864"/>
        <rFont val="DejaVu Sans"/>
        <family val="2"/>
      </rPr>
      <t xml:space="preserve">交叉驗證：與總覽表 </t>
    </r>
    <r>
      <rPr>
        <b val="true"/>
        <sz val="11"/>
        <color rgb="FF1F3864"/>
        <rFont val="Arial"/>
        <family val="0"/>
        <charset val="1"/>
      </rPr>
      <t xml:space="preserve">Q4 </t>
    </r>
    <r>
      <rPr>
        <b val="true"/>
        <sz val="11"/>
        <color rgb="FF1F3864"/>
        <rFont val="DejaVu Sans"/>
        <family val="2"/>
      </rPr>
      <t xml:space="preserve">比對</t>
    </r>
  </si>
  <si>
    <t xml:space="preserve">差異</t>
  </si>
  <si>
    <t xml:space="preserve">驗證結果</t>
  </si>
  <si>
    <r>
      <rPr>
        <sz val="9"/>
        <color rgb="FF666666"/>
        <rFont val="DejaVu Sans"/>
        <family val="2"/>
      </rPr>
      <t xml:space="preserve">※ 本表計算邏輯：含稅營收 → 營業稅</t>
    </r>
    <r>
      <rPr>
        <sz val="9"/>
        <color rgb="FF666666"/>
        <rFont val="Arial"/>
        <family val="0"/>
        <charset val="1"/>
      </rPr>
      <t xml:space="preserve">(÷1.05×5%) → </t>
    </r>
    <r>
      <rPr>
        <sz val="9"/>
        <color rgb="FF666666"/>
        <rFont val="DejaVu Sans"/>
        <family val="2"/>
      </rPr>
      <t xml:space="preserve">扣稅後淨營收 → </t>
    </r>
    <r>
      <rPr>
        <sz val="9"/>
        <color rgb="FF666666"/>
        <rFont val="Arial"/>
        <family val="0"/>
        <charset val="1"/>
      </rPr>
      <t xml:space="preserve">15%</t>
    </r>
    <r>
      <rPr>
        <sz val="9"/>
        <color rgb="FF666666"/>
        <rFont val="DejaVu Sans"/>
        <family val="2"/>
      </rPr>
      <t xml:space="preserve">平台費</t>
    </r>
    <r>
      <rPr>
        <sz val="9"/>
        <color rgb="FF666666"/>
        <rFont val="Arial"/>
        <family val="0"/>
        <charset val="1"/>
      </rPr>
      <t xml:space="preserve">(TIS) → </t>
    </r>
    <r>
      <rPr>
        <sz val="9"/>
        <color rgb="FF666666"/>
        <rFont val="DejaVu Sans"/>
        <family val="2"/>
      </rPr>
      <t xml:space="preserve">可分配池 → </t>
    </r>
    <r>
      <rPr>
        <sz val="9"/>
        <color rgb="FF666666"/>
        <rFont val="Arial"/>
        <family val="0"/>
        <charset val="1"/>
      </rPr>
      <t xml:space="preserve">×75%</t>
    </r>
    <r>
      <rPr>
        <sz val="9"/>
        <color rgb="FF666666"/>
        <rFont val="DejaVu Sans"/>
        <family val="2"/>
      </rPr>
      <t xml:space="preserve">供應商池 → </t>
    </r>
    <r>
      <rPr>
        <sz val="9"/>
        <color rgb="FF666666"/>
        <rFont val="Arial"/>
        <family val="0"/>
        <charset val="1"/>
      </rPr>
      <t xml:space="preserve">×</t>
    </r>
    <r>
      <rPr>
        <sz val="9"/>
        <color rgb="FF666666"/>
        <rFont val="DejaVu Sans"/>
        <family val="2"/>
      </rPr>
      <t xml:space="preserve">工研院加權佔比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工研院分潤（含稅）。工研院開立發票：發票總額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分潤金額（已含稅），未稅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發票總額</t>
    </r>
    <r>
      <rPr>
        <sz val="9"/>
        <color rgb="FF666666"/>
        <rFont val="Arial"/>
        <family val="0"/>
        <charset val="1"/>
      </rPr>
      <t xml:space="preserve">÷1.05</t>
    </r>
    <r>
      <rPr>
        <sz val="9"/>
        <color rgb="FF666666"/>
        <rFont val="DejaVu Sans"/>
        <family val="2"/>
      </rPr>
      <t xml:space="preserve">，營業稅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發票總額−未稅（繳國稅局）。</t>
    </r>
  </si>
  <si>
    <r>
      <rPr>
        <sz val="9"/>
        <color rgb="FF666666"/>
        <rFont val="DejaVu Sans"/>
        <family val="2"/>
      </rPr>
      <t xml:space="preserve">※ 藍色字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輸入值（可依實際調整）；綠色字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跨區域公式連結；黑色字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DejaVu Sans"/>
        <family val="2"/>
      </rPr>
      <t xml:space="preserve">計算公式。</t>
    </r>
  </si>
  <si>
    <t xml:space="preserve">統一發票開立參考資訊</t>
  </si>
  <si>
    <t xml:space="preserve">請依下列資訊開立統一發票予泰然智財策略股份有限公司</t>
  </si>
  <si>
    <r>
      <rPr>
        <b val="true"/>
        <sz val="11"/>
        <color rgb="FFFFFFFF"/>
        <rFont val="DejaVu Sans"/>
        <family val="2"/>
      </rPr>
      <t xml:space="preserve">買受人（</t>
    </r>
    <r>
      <rPr>
        <b val="true"/>
        <sz val="11"/>
        <color rgb="FFFFFFFF"/>
        <rFont val="Arial"/>
        <family val="0"/>
        <charset val="1"/>
      </rPr>
      <t xml:space="preserve">TIS</t>
    </r>
    <r>
      <rPr>
        <b val="true"/>
        <sz val="11"/>
        <color rgb="FFFFFFFF"/>
        <rFont val="DejaVu Sans"/>
        <family val="2"/>
      </rPr>
      <t xml:space="preserve">）資訊</t>
    </r>
  </si>
  <si>
    <t xml:space="preserve">公司名稱</t>
  </si>
  <si>
    <t xml:space="preserve">泰然智財策略股份有限公司</t>
  </si>
  <si>
    <t xml:space="preserve">統一編號</t>
  </si>
  <si>
    <r>
      <rPr>
        <sz val="10"/>
        <color rgb="FF0000FF"/>
        <rFont val="DejaVu Sans"/>
        <family val="2"/>
      </rPr>
      <t xml:space="preserve">（請填入</t>
    </r>
    <r>
      <rPr>
        <sz val="10"/>
        <color rgb="FF0000FF"/>
        <rFont val="Arial"/>
        <family val="0"/>
        <charset val="1"/>
      </rPr>
      <t xml:space="preserve">TIS</t>
    </r>
    <r>
      <rPr>
        <sz val="10"/>
        <color rgb="FF0000FF"/>
        <rFont val="DejaVu Sans"/>
        <family val="2"/>
      </rPr>
      <t xml:space="preserve">統一編號）</t>
    </r>
  </si>
  <si>
    <t xml:space="preserve">公司地址</t>
  </si>
  <si>
    <r>
      <rPr>
        <sz val="10"/>
        <color rgb="FF0000FF"/>
        <rFont val="DejaVu Sans"/>
        <family val="2"/>
      </rPr>
      <t xml:space="preserve">（請填入</t>
    </r>
    <r>
      <rPr>
        <sz val="10"/>
        <color rgb="FF0000FF"/>
        <rFont val="Arial"/>
        <family val="0"/>
        <charset val="1"/>
      </rPr>
      <t xml:space="preserve">TIS</t>
    </r>
    <r>
      <rPr>
        <sz val="10"/>
        <color rgb="FF0000FF"/>
        <rFont val="DejaVu Sans"/>
        <family val="2"/>
      </rPr>
      <t xml:space="preserve">公司地址）</t>
    </r>
  </si>
  <si>
    <t xml:space="preserve">銷售人（工研院）資訊</t>
  </si>
  <si>
    <t xml:space="preserve">財團法人工業技術研究院</t>
  </si>
  <si>
    <t xml:space="preserve">05765122</t>
  </si>
  <si>
    <t xml:space="preserve">聯絡人</t>
  </si>
  <si>
    <t xml:space="preserve">聯絡電話</t>
  </si>
  <si>
    <t xml:space="preserve">電子郵件</t>
  </si>
  <si>
    <r>
      <rPr>
        <b val="true"/>
        <sz val="11"/>
        <color rgb="FFFFFFFF"/>
        <rFont val="DejaVu Sans"/>
        <family val="2"/>
      </rPr>
      <t xml:space="preserve">發票開立明細 — </t>
    </r>
    <r>
      <rPr>
        <b val="true"/>
        <sz val="11"/>
        <color rgb="FFFFFFFF"/>
        <rFont val="Arial"/>
        <family val="0"/>
        <charset val="1"/>
      </rPr>
      <t xml:space="preserve">Y1 Q4</t>
    </r>
    <r>
      <rPr>
        <b val="true"/>
        <sz val="11"/>
        <color rgb="FFFFFFFF"/>
        <rFont val="DejaVu Sans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10</t>
    </r>
    <r>
      <rPr>
        <b val="true"/>
        <sz val="11"/>
        <color rgb="FFFFFFFF"/>
        <rFont val="DejaVu Sans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-12</t>
    </r>
    <r>
      <rPr>
        <b val="true"/>
        <sz val="11"/>
        <color rgb="FFFFFFFF"/>
        <rFont val="DejaVu Sans"/>
        <family val="2"/>
      </rPr>
      <t xml:space="preserve">月）</t>
    </r>
  </si>
  <si>
    <t xml:space="preserve">項目</t>
  </si>
  <si>
    <t xml:space="preserve">說明</t>
  </si>
  <si>
    <r>
      <rPr>
        <b val="true"/>
        <sz val="10"/>
        <color rgb="FFFFFFFF"/>
        <rFont val="DejaVu Sans"/>
        <family val="2"/>
      </rPr>
      <t xml:space="preserve">金額（</t>
    </r>
    <r>
      <rPr>
        <b val="true"/>
        <sz val="10"/>
        <color rgb="FFFFFFFF"/>
        <rFont val="Arial"/>
        <family val="0"/>
        <charset val="1"/>
      </rPr>
      <t xml:space="preserve">NTD</t>
    </r>
    <r>
      <rPr>
        <b val="true"/>
        <sz val="10"/>
        <color rgb="FFFFFFFF"/>
        <rFont val="DejaVu Sans"/>
        <family val="2"/>
      </rPr>
      <t xml:space="preserve">）</t>
    </r>
  </si>
  <si>
    <t xml:space="preserve">備註</t>
  </si>
  <si>
    <t xml:space="preserve">發票總額（含稅）</t>
  </si>
  <si>
    <r>
      <rPr>
        <b val="true"/>
        <sz val="10"/>
        <rFont val="Arial"/>
        <family val="0"/>
        <charset val="1"/>
      </rPr>
      <t xml:space="preserve">TIS </t>
    </r>
    <r>
      <rPr>
        <b val="true"/>
        <sz val="10"/>
        <rFont val="DejaVu Sans"/>
        <family val="2"/>
      </rPr>
      <t xml:space="preserve">撥付金額（已含稅）</t>
    </r>
  </si>
  <si>
    <t xml:space="preserve">← 發票應開金額</t>
  </si>
  <si>
    <t xml:space="preserve">其中未稅金額</t>
  </si>
  <si>
    <r>
      <rPr>
        <sz val="10"/>
        <rFont val="DejaVu Sans"/>
        <family val="2"/>
      </rPr>
      <t xml:space="preserve">發票總額 </t>
    </r>
    <r>
      <rPr>
        <sz val="10"/>
        <rFont val="Arial"/>
        <family val="0"/>
        <charset val="1"/>
      </rPr>
      <t xml:space="preserve">÷ 1.05</t>
    </r>
  </si>
  <si>
    <r>
      <rPr>
        <sz val="10"/>
        <rFont val="DejaVu Sans"/>
        <family val="2"/>
      </rPr>
      <t xml:space="preserve">其中營業稅 </t>
    </r>
    <r>
      <rPr>
        <sz val="10"/>
        <rFont val="Arial"/>
        <family val="0"/>
        <charset val="1"/>
      </rPr>
      <t xml:space="preserve">5%</t>
    </r>
  </si>
  <si>
    <t xml:space="preserve">繳納國稅局</t>
  </si>
  <si>
    <t xml:space="preserve">依加值型及非加值型營業稅法</t>
  </si>
  <si>
    <t xml:space="preserve">驗證</t>
  </si>
  <si>
    <t xml:space="preserve">與明細表交叉驗證</t>
  </si>
  <si>
    <r>
      <rPr>
        <sz val="10"/>
        <rFont val="DejaVu Sans"/>
        <family val="2"/>
      </rPr>
      <t xml:space="preserve">明細表</t>
    </r>
    <r>
      <rPr>
        <sz val="10"/>
        <rFont val="Arial"/>
        <family val="0"/>
        <charset val="1"/>
      </rPr>
      <t xml:space="preserve">(I)</t>
    </r>
    <r>
      <rPr>
        <sz val="10"/>
        <rFont val="DejaVu Sans"/>
        <family val="2"/>
      </rPr>
      <t xml:space="preserve">發票總額</t>
    </r>
  </si>
  <si>
    <t xml:space="preserve">應與上方一致</t>
  </si>
  <si>
    <t xml:space="preserve">差異檢查</t>
  </si>
  <si>
    <r>
      <rPr>
        <sz val="10"/>
        <rFont val="DejaVu Sans"/>
        <family val="2"/>
      </rPr>
      <t xml:space="preserve">差額應為 </t>
    </r>
    <r>
      <rPr>
        <sz val="10"/>
        <rFont val="Arial"/>
        <family val="0"/>
        <charset val="1"/>
      </rPr>
      <t xml:space="preserve">0</t>
    </r>
  </si>
  <si>
    <t xml:space="preserve">匯款資訊（工研院提供）</t>
  </si>
  <si>
    <t xml:space="preserve">銀行名稱</t>
  </si>
  <si>
    <t xml:space="preserve">分行名稱</t>
  </si>
  <si>
    <t xml:space="preserve">銀行代碼</t>
  </si>
  <si>
    <t xml:space="preserve">帳戶名稱</t>
  </si>
  <si>
    <t xml:space="preserve">帳戶號碼</t>
  </si>
  <si>
    <r>
      <rPr>
        <sz val="9"/>
        <color rgb="FF666666"/>
        <rFont val="DejaVu Sans"/>
        <family val="2"/>
      </rPr>
      <t xml:space="preserve">※ 請於收到本結算報告後 </t>
    </r>
    <r>
      <rPr>
        <sz val="9"/>
        <color rgb="FF666666"/>
        <rFont val="Arial"/>
        <family val="0"/>
        <charset val="1"/>
      </rPr>
      <t xml:space="preserve">15 </t>
    </r>
    <r>
      <rPr>
        <sz val="9"/>
        <color rgb="FF666666"/>
        <rFont val="DejaVu Sans"/>
        <family val="2"/>
      </rPr>
      <t xml:space="preserve">日內開立統一發票寄送至 </t>
    </r>
    <r>
      <rPr>
        <sz val="9"/>
        <color rgb="FF666666"/>
        <rFont val="Arial"/>
        <family val="0"/>
        <charset val="1"/>
      </rPr>
      <t xml:space="preserve">TIS</t>
    </r>
    <r>
      <rPr>
        <sz val="9"/>
        <color rgb="FF666666"/>
        <rFont val="DejaVu Sans"/>
        <family val="2"/>
      </rPr>
      <t xml:space="preserve">。</t>
    </r>
    <r>
      <rPr>
        <sz val="9"/>
        <color rgb="FF666666"/>
        <rFont val="Arial"/>
        <family val="0"/>
        <charset val="1"/>
      </rPr>
      <t xml:space="preserve">TIS </t>
    </r>
    <r>
      <rPr>
        <sz val="9"/>
        <color rgb="FF666666"/>
        <rFont val="DejaVu Sans"/>
        <family val="2"/>
      </rPr>
      <t xml:space="preserve">將於收到發票後 </t>
    </r>
    <r>
      <rPr>
        <sz val="9"/>
        <color rgb="FF666666"/>
        <rFont val="Arial"/>
        <family val="0"/>
        <charset val="1"/>
      </rPr>
      <t xml:space="preserve">30 </t>
    </r>
    <r>
      <rPr>
        <sz val="9"/>
        <color rgb="FF666666"/>
        <rFont val="DejaVu Sans"/>
        <family val="2"/>
      </rPr>
      <t xml:space="preserve">日內完成匯款。</t>
    </r>
  </si>
  <si>
    <t xml:space="preserve">授權方確認簽章</t>
  </si>
  <si>
    <t xml:space="preserve">經辦人：＿＿＿＿＿＿＿</t>
  </si>
  <si>
    <t xml:space="preserve">簽章：＿＿＿＿＿＿＿</t>
  </si>
  <si>
    <t xml:space="preserve">日　期：＿＿＿＿＿＿＿</t>
  </si>
  <si>
    <t xml:space="preserve">日期：＿＿＿＿＿＿＿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</si>
</sst>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;\(#,##0\);\-"/>
    <numFmt numFmtId="167" formatCode="0.0"/>
    <numFmt numFmtId="168" formatCode="0.0%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Arial"/>
      <family val="0"/>
      <charset val="1"/>
    </font>
    <font>
      <sz val="10"/>
      <color rgb="FFFFFFFF"/>
      <name val="DejaVu Sans"/>
      <family val="2"/>
    </font>
    <font>
      <sz val="10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FFFFFF"/>
      <name val="DejaVu Sans"/>
      <family val="2"/>
    </font>
    <font>
      <b val="true"/>
      <sz val="11"/>
      <color rgb="FF1F3864"/>
      <name val="DejaVu Sans"/>
      <family val="2"/>
    </font>
    <font>
      <sz val="10"/>
      <color rgb="FF0000FF"/>
      <name val="DejaVu Sans"/>
      <family val="2"/>
    </font>
    <font>
      <sz val="10"/>
      <color rgb="FF0000FF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8"/>
      <name val="Arial"/>
      <family val="0"/>
      <charset val="1"/>
    </font>
    <font>
      <sz val="8"/>
      <name val="DejaVu Sans"/>
      <family val="2"/>
    </font>
    <font>
      <sz val="1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Arial"/>
      <family val="0"/>
      <charset val="1"/>
    </font>
    <font>
      <sz val="9"/>
      <color rgb="FF666666"/>
      <name val="DejaVu Sans"/>
      <family val="2"/>
    </font>
    <font>
      <sz val="9"/>
      <color rgb="FF666666"/>
      <name val="Arial"/>
      <family val="0"/>
      <charset val="1"/>
    </font>
    <font>
      <b val="true"/>
      <sz val="10"/>
      <name val="DejaVu Sans"/>
      <family val="2"/>
    </font>
    <font>
      <sz val="10"/>
      <name val="DejaVu Sans"/>
      <family val="2"/>
    </font>
    <font>
      <sz val="10"/>
      <color rgb="FF008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2"/>
      <color rgb="FFC00000"/>
      <name val="DejaVu Sans"/>
      <family val="2"/>
    </font>
    <font>
      <b val="true"/>
      <sz val="14"/>
      <color rgb="FFC00000"/>
      <name val="Arial"/>
      <family val="0"/>
      <charset val="1"/>
    </font>
    <font>
      <b val="true"/>
      <sz val="10"/>
      <color rgb="FFC00000"/>
      <name val="DejaVu Sans"/>
      <family val="2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name val="DejaVu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D6E4F0"/>
        <bgColor rgb="FFEDF2F9"/>
      </patternFill>
    </fill>
    <fill>
      <patternFill patternType="solid">
        <fgColor rgb="FFFFFFFF"/>
        <bgColor rgb="FFF2F2F2"/>
      </patternFill>
    </fill>
    <fill>
      <patternFill patternType="solid">
        <fgColor rgb="FFEDF2F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DF2F9"/>
      </patternFill>
    </fill>
    <fill>
      <patternFill patternType="solid">
        <fgColor rgb="FF4472C4"/>
        <bgColor rgb="FF2E75B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2F2"/>
      <rgbColor rgb="FFEDF2F9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8" min="4" style="0" width="16"/>
    <col collapsed="false" customWidth="true" hidden="false" outlineLevel="0" max="9" min="9" style="0" width="3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</row>
    <row r="5" customFormat="false" ht="15" hidden="false" customHeight="false" outlineLevel="0" collapsed="false">
      <c r="B5" s="4" t="s">
        <v>3</v>
      </c>
      <c r="C5" s="5" t="s">
        <v>4</v>
      </c>
      <c r="D5" s="5"/>
      <c r="E5" s="5"/>
      <c r="F5" s="5"/>
      <c r="G5" s="5"/>
      <c r="H5" s="5"/>
    </row>
    <row r="6" customFormat="false" ht="15" hidden="false" customHeight="false" outlineLevel="0" collapsed="false">
      <c r="B6" s="4" t="s">
        <v>5</v>
      </c>
      <c r="C6" s="6" t="s">
        <v>6</v>
      </c>
      <c r="D6" s="6"/>
      <c r="E6" s="6"/>
      <c r="F6" s="6"/>
      <c r="G6" s="6"/>
      <c r="H6" s="6"/>
    </row>
    <row r="7" customFormat="false" ht="15" hidden="false" customHeight="false" outlineLevel="0" collapsed="false">
      <c r="B7" s="4" t="s">
        <v>7</v>
      </c>
      <c r="C7" s="6" t="s">
        <v>8</v>
      </c>
      <c r="D7" s="6"/>
      <c r="E7" s="6"/>
      <c r="F7" s="6"/>
      <c r="G7" s="6"/>
      <c r="H7" s="6"/>
    </row>
    <row r="8" customFormat="false" ht="15" hidden="false" customHeight="false" outlineLevel="0" collapsed="false">
      <c r="B8" s="4" t="s">
        <v>9</v>
      </c>
      <c r="C8" s="6" t="s">
        <v>10</v>
      </c>
      <c r="D8" s="6"/>
      <c r="E8" s="6"/>
      <c r="F8" s="6"/>
      <c r="G8" s="6"/>
      <c r="H8" s="6"/>
    </row>
    <row r="10" customFormat="false" ht="39.75" hidden="false" customHeight="true" outlineLevel="0" collapsed="false"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</row>
    <row r="11" customFormat="false" ht="15" hidden="false" customHeight="false" outlineLevel="0" collapsed="false">
      <c r="B11" s="8" t="s">
        <v>18</v>
      </c>
      <c r="C11" s="9" t="s">
        <v>19</v>
      </c>
      <c r="D11" s="10" t="n">
        <v>25245</v>
      </c>
      <c r="E11" s="11" t="n">
        <v>1202</v>
      </c>
      <c r="F11" s="12" t="n">
        <v>24043</v>
      </c>
      <c r="G11" s="13" t="n">
        <v>10671</v>
      </c>
      <c r="H11" s="12" t="n">
        <v>10163</v>
      </c>
    </row>
    <row r="12" customFormat="false" ht="15" hidden="false" customHeight="false" outlineLevel="0" collapsed="false">
      <c r="B12" s="14" t="s">
        <v>20</v>
      </c>
      <c r="C12" s="15" t="s">
        <v>21</v>
      </c>
      <c r="D12" s="16" t="n">
        <v>51975</v>
      </c>
      <c r="E12" s="17" t="n">
        <v>2475</v>
      </c>
      <c r="F12" s="18" t="n">
        <v>49500</v>
      </c>
      <c r="G12" s="19" t="n">
        <v>19513</v>
      </c>
      <c r="H12" s="18" t="n">
        <v>18584</v>
      </c>
    </row>
    <row r="13" customFormat="false" ht="20.85" hidden="false" customHeight="false" outlineLevel="0" collapsed="false">
      <c r="B13" s="8" t="s">
        <v>22</v>
      </c>
      <c r="C13" s="9" t="s">
        <v>23</v>
      </c>
      <c r="D13" s="10" t="n">
        <v>78705</v>
      </c>
      <c r="E13" s="11" t="n">
        <v>3748</v>
      </c>
      <c r="F13" s="12" t="n">
        <v>74957</v>
      </c>
      <c r="G13" s="13" t="n">
        <v>26964</v>
      </c>
      <c r="H13" s="12" t="n">
        <v>25680</v>
      </c>
    </row>
    <row r="14" customFormat="false" ht="20.85" hidden="false" customHeight="false" outlineLevel="0" collapsed="false">
      <c r="B14" s="14" t="s">
        <v>24</v>
      </c>
      <c r="C14" s="15" t="s">
        <v>25</v>
      </c>
      <c r="D14" s="16" t="n">
        <v>108405</v>
      </c>
      <c r="E14" s="17" t="n">
        <v>5162</v>
      </c>
      <c r="F14" s="18" t="n">
        <v>103243</v>
      </c>
      <c r="G14" s="20" t="n">
        <v>38567</v>
      </c>
      <c r="H14" s="18" t="n">
        <v>36730</v>
      </c>
    </row>
    <row r="15" customFormat="false" ht="20.85" hidden="false" customHeight="false" outlineLevel="0" collapsed="false">
      <c r="B15" s="8" t="s">
        <v>26</v>
      </c>
      <c r="C15" s="9" t="s">
        <v>23</v>
      </c>
      <c r="D15" s="10" t="n">
        <v>78705</v>
      </c>
      <c r="E15" s="11" t="n">
        <v>3748</v>
      </c>
      <c r="F15" s="12" t="n">
        <v>74957</v>
      </c>
      <c r="G15" s="13" t="n">
        <v>26964</v>
      </c>
      <c r="H15" s="12" t="n">
        <v>25680</v>
      </c>
    </row>
    <row r="16" customFormat="false" ht="20.85" hidden="false" customHeight="false" outlineLevel="0" collapsed="false">
      <c r="B16" s="14" t="s">
        <v>27</v>
      </c>
      <c r="C16" s="15" t="s">
        <v>28</v>
      </c>
      <c r="D16" s="16" t="n">
        <v>78036</v>
      </c>
      <c r="E16" s="17" t="n">
        <v>3716</v>
      </c>
      <c r="F16" s="18" t="n">
        <v>74320</v>
      </c>
      <c r="G16" s="19" t="n">
        <v>26743</v>
      </c>
      <c r="H16" s="18" t="n">
        <v>25470</v>
      </c>
    </row>
    <row r="17" customFormat="false" ht="20.85" hidden="false" customHeight="false" outlineLevel="0" collapsed="false">
      <c r="B17" s="8" t="s">
        <v>29</v>
      </c>
      <c r="C17" s="9" t="s">
        <v>30</v>
      </c>
      <c r="D17" s="10" t="n">
        <v>77367</v>
      </c>
      <c r="E17" s="11" t="n">
        <v>3684</v>
      </c>
      <c r="F17" s="12" t="n">
        <v>73683</v>
      </c>
      <c r="G17" s="13" t="n">
        <v>26557</v>
      </c>
      <c r="H17" s="12" t="n">
        <v>25292</v>
      </c>
    </row>
    <row r="18" customFormat="false" ht="20.85" hidden="false" customHeight="false" outlineLevel="0" collapsed="false">
      <c r="B18" s="14" t="s">
        <v>31</v>
      </c>
      <c r="C18" s="15" t="s">
        <v>30</v>
      </c>
      <c r="D18" s="16" t="n">
        <v>77367</v>
      </c>
      <c r="E18" s="17" t="n">
        <v>3684</v>
      </c>
      <c r="F18" s="18" t="n">
        <v>73683</v>
      </c>
      <c r="G18" s="19" t="n">
        <v>26557</v>
      </c>
      <c r="H18" s="18" t="n">
        <v>25292</v>
      </c>
    </row>
    <row r="19" customFormat="false" ht="20.85" hidden="false" customHeight="false" outlineLevel="0" collapsed="false">
      <c r="B19" s="8" t="s">
        <v>32</v>
      </c>
      <c r="C19" s="9" t="s">
        <v>30</v>
      </c>
      <c r="D19" s="10" t="n">
        <v>77367</v>
      </c>
      <c r="E19" s="11" t="n">
        <v>3684</v>
      </c>
      <c r="F19" s="12" t="n">
        <v>73683</v>
      </c>
      <c r="G19" s="13" t="n">
        <v>26557</v>
      </c>
      <c r="H19" s="12" t="n">
        <v>25292</v>
      </c>
    </row>
    <row r="20" customFormat="false" ht="20.85" hidden="false" customHeight="false" outlineLevel="0" collapsed="false">
      <c r="B20" s="14" t="s">
        <v>33</v>
      </c>
      <c r="C20" s="15" t="s">
        <v>34</v>
      </c>
      <c r="D20" s="16" t="n">
        <v>76701</v>
      </c>
      <c r="E20" s="17" t="n">
        <v>3652</v>
      </c>
      <c r="F20" s="18" t="n">
        <v>73049</v>
      </c>
      <c r="G20" s="19" t="n">
        <v>26336</v>
      </c>
      <c r="H20" s="18" t="n">
        <v>25082</v>
      </c>
    </row>
    <row r="21" customFormat="false" ht="15" hidden="false" customHeight="false" outlineLevel="0" collapsed="false">
      <c r="B21" s="8" t="s">
        <v>35</v>
      </c>
      <c r="C21" s="9" t="s">
        <v>36</v>
      </c>
      <c r="D21" s="10" t="n">
        <v>50640</v>
      </c>
      <c r="E21" s="11" t="n">
        <v>2411</v>
      </c>
      <c r="F21" s="12" t="n">
        <v>48229</v>
      </c>
      <c r="G21" s="13" t="n">
        <v>19071</v>
      </c>
      <c r="H21" s="12" t="n">
        <v>18163</v>
      </c>
    </row>
    <row r="22" customFormat="false" ht="15" hidden="false" customHeight="false" outlineLevel="0" collapsed="false">
      <c r="B22" s="14" t="s">
        <v>37</v>
      </c>
      <c r="C22" s="15" t="s">
        <v>36</v>
      </c>
      <c r="D22" s="16" t="n">
        <v>50640</v>
      </c>
      <c r="E22" s="17" t="n">
        <v>2411</v>
      </c>
      <c r="F22" s="18" t="n">
        <v>48229</v>
      </c>
      <c r="G22" s="19" t="n">
        <v>19071</v>
      </c>
      <c r="H22" s="18" t="n">
        <v>18163</v>
      </c>
    </row>
    <row r="23" customFormat="false" ht="15" hidden="false" customHeight="false" outlineLevel="0" collapsed="false">
      <c r="B23" s="8" t="s">
        <v>38</v>
      </c>
      <c r="C23" s="9" t="s">
        <v>39</v>
      </c>
      <c r="D23" s="10" t="n">
        <v>25395</v>
      </c>
      <c r="E23" s="11" t="n">
        <v>1209</v>
      </c>
      <c r="F23" s="12" t="n">
        <v>24186</v>
      </c>
      <c r="G23" s="13" t="n">
        <v>8400</v>
      </c>
      <c r="H23" s="12" t="n">
        <v>8000</v>
      </c>
    </row>
    <row r="24" customFormat="false" ht="15" hidden="false" customHeight="false" outlineLevel="0" collapsed="false">
      <c r="B24" s="14" t="s">
        <v>40</v>
      </c>
      <c r="C24" s="21" t="s">
        <v>41</v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</row>
    <row r="25" customFormat="false" ht="15" hidden="false" customHeight="false" outlineLevel="0" collapsed="false">
      <c r="B25" s="8" t="s">
        <v>42</v>
      </c>
      <c r="C25" s="22" t="s">
        <v>41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</row>
    <row r="26" customFormat="false" ht="15" hidden="false" customHeight="false" outlineLevel="0" collapsed="false">
      <c r="B26" s="14" t="s">
        <v>43</v>
      </c>
      <c r="C26" s="21" t="s">
        <v>41</v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</row>
    <row r="27" customFormat="false" ht="15" hidden="false" customHeight="false" outlineLevel="0" collapsed="false">
      <c r="B27" s="23" t="s">
        <v>44</v>
      </c>
      <c r="C27" s="24"/>
      <c r="D27" s="25" t="n">
        <f aca="false">SUM(D11:D26)</f>
        <v>856548</v>
      </c>
      <c r="E27" s="25" t="n">
        <f aca="false">SUM(E11:E26)</f>
        <v>40786</v>
      </c>
      <c r="F27" s="25" t="n">
        <f aca="false">SUM(F11:F26)</f>
        <v>815762</v>
      </c>
      <c r="G27" s="25" t="n">
        <f aca="false">SUM(G11:G26)</f>
        <v>301971</v>
      </c>
      <c r="H27" s="25" t="n">
        <f aca="false">SUM(H11:H26)</f>
        <v>287591</v>
      </c>
    </row>
    <row r="29" customFormat="false" ht="22.35" hidden="false" customHeight="true" outlineLevel="0" collapsed="false">
      <c r="B29" s="26" t="s">
        <v>45</v>
      </c>
      <c r="C29" s="26"/>
      <c r="D29" s="26"/>
      <c r="E29" s="26"/>
      <c r="F29" s="26"/>
      <c r="G29" s="26"/>
      <c r="H29" s="26"/>
    </row>
    <row r="30" customFormat="false" ht="22.35" hidden="false" customHeight="true" outlineLevel="0" collapsed="false">
      <c r="B30" s="26" t="s">
        <v>46</v>
      </c>
      <c r="C30" s="26"/>
      <c r="D30" s="26"/>
      <c r="E30" s="26"/>
      <c r="F30" s="26"/>
      <c r="G30" s="26"/>
      <c r="H30" s="26"/>
    </row>
  </sheetData>
  <mergeCells count="9">
    <mergeCell ref="B1:H1"/>
    <mergeCell ref="B2:H2"/>
    <mergeCell ref="B3:H3"/>
    <mergeCell ref="C5:H5"/>
    <mergeCell ref="C6:H6"/>
    <mergeCell ref="C7:H7"/>
    <mergeCell ref="C8:H8"/>
    <mergeCell ref="B29:H29"/>
    <mergeCell ref="B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K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0"/>
    <col collapsed="false" customWidth="true" hidden="false" outlineLevel="0" max="11" min="8" style="0" width="12"/>
    <col collapsed="false" customWidth="true" hidden="false" outlineLevel="0" max="12" min="12" style="0" width="3"/>
  </cols>
  <sheetData>
    <row r="1" customFormat="false" ht="36" hidden="false" customHeight="true" outlineLevel="0" collapsed="false">
      <c r="B1" s="1" t="s">
        <v>47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B2" s="2" t="s">
        <v>48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B4" s="4" t="s">
        <v>49</v>
      </c>
      <c r="C4" s="6" t="s">
        <v>50</v>
      </c>
      <c r="D4" s="6"/>
      <c r="E4" s="6"/>
    </row>
    <row r="5" customFormat="false" ht="15" hidden="false" customHeight="false" outlineLevel="0" collapsed="false">
      <c r="B5" s="4" t="s">
        <v>51</v>
      </c>
      <c r="C5" s="6" t="s">
        <v>52</v>
      </c>
      <c r="D5" s="6"/>
      <c r="E5" s="6"/>
    </row>
    <row r="6" customFormat="false" ht="15" hidden="false" customHeight="false" outlineLevel="0" collapsed="false">
      <c r="B6" s="4" t="s">
        <v>53</v>
      </c>
      <c r="C6" s="6" t="s">
        <v>54</v>
      </c>
      <c r="D6" s="6"/>
      <c r="E6" s="6"/>
    </row>
    <row r="7" customFormat="false" ht="15" hidden="false" customHeight="false" outlineLevel="0" collapsed="false">
      <c r="B7" s="4" t="s">
        <v>55</v>
      </c>
      <c r="C7" s="6" t="s">
        <v>56</v>
      </c>
      <c r="D7" s="6"/>
      <c r="E7" s="6"/>
    </row>
    <row r="9" customFormat="false" ht="15" hidden="false" customHeight="false" outlineLevel="0" collapsed="false">
      <c r="B9" s="24" t="s">
        <v>57</v>
      </c>
      <c r="C9" s="24"/>
      <c r="D9" s="24"/>
      <c r="E9" s="24"/>
      <c r="F9" s="24"/>
      <c r="G9" s="24"/>
      <c r="H9" s="24"/>
      <c r="I9" s="24"/>
      <c r="J9" s="24"/>
      <c r="K9" s="24"/>
    </row>
    <row r="10" customFormat="false" ht="39.75" hidden="false" customHeight="true" outlineLevel="0" collapsed="false"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63</v>
      </c>
      <c r="H10" s="7" t="s">
        <v>64</v>
      </c>
      <c r="I10" s="7" t="s">
        <v>15</v>
      </c>
      <c r="J10" s="7" t="s">
        <v>65</v>
      </c>
      <c r="K10" s="7" t="s">
        <v>66</v>
      </c>
    </row>
    <row r="11" customFormat="false" ht="15" hidden="false" customHeight="false" outlineLevel="0" collapsed="false">
      <c r="B11" s="27" t="s">
        <v>67</v>
      </c>
      <c r="C11" s="28" t="s">
        <v>68</v>
      </c>
      <c r="D11" s="22" t="s">
        <v>69</v>
      </c>
      <c r="E11" s="10" t="n">
        <v>8415</v>
      </c>
      <c r="F11" s="29" t="n">
        <v>3</v>
      </c>
      <c r="G11" s="12" t="n">
        <f aca="false">E11*F11</f>
        <v>25245</v>
      </c>
      <c r="H11" s="12" t="n">
        <f aca="false">ROUND(G11/1.05*0.05,0)</f>
        <v>1202</v>
      </c>
      <c r="I11" s="12" t="n">
        <f aca="false">G11-H11</f>
        <v>24043</v>
      </c>
      <c r="J11" s="12" t="n">
        <f aca="false">ROUND(I11*0.15,0)</f>
        <v>3606</v>
      </c>
      <c r="K11" s="12" t="n">
        <f aca="false">I11-J11</f>
        <v>20437</v>
      </c>
    </row>
    <row r="12" customFormat="false" ht="15" hidden="false" customHeight="false" outlineLevel="0" collapsed="false">
      <c r="B12" s="30" t="s">
        <v>70</v>
      </c>
      <c r="C12" s="31" t="s">
        <v>71</v>
      </c>
      <c r="D12" s="21" t="s">
        <v>72</v>
      </c>
      <c r="E12" s="16" t="n">
        <v>8910</v>
      </c>
      <c r="F12" s="32" t="n">
        <v>3</v>
      </c>
      <c r="G12" s="18" t="n">
        <f aca="false">E12*F12</f>
        <v>26730</v>
      </c>
      <c r="H12" s="18" t="n">
        <f aca="false">ROUND(G12/1.05*0.05,0)</f>
        <v>1273</v>
      </c>
      <c r="I12" s="18" t="n">
        <f aca="false">G12-H12</f>
        <v>25457</v>
      </c>
      <c r="J12" s="18" t="n">
        <f aca="false">ROUND(I12*0.15,0)</f>
        <v>3819</v>
      </c>
      <c r="K12" s="18" t="n">
        <f aca="false">I12-J12</f>
        <v>21638</v>
      </c>
    </row>
    <row r="13" customFormat="false" ht="15" hidden="false" customHeight="false" outlineLevel="0" collapsed="false">
      <c r="B13" s="27" t="s">
        <v>73</v>
      </c>
      <c r="C13" s="28" t="s">
        <v>74</v>
      </c>
      <c r="D13" s="22" t="s">
        <v>72</v>
      </c>
      <c r="E13" s="10" t="n">
        <v>8910</v>
      </c>
      <c r="F13" s="29" t="n">
        <v>3</v>
      </c>
      <c r="G13" s="12" t="n">
        <f aca="false">E13*F13</f>
        <v>26730</v>
      </c>
      <c r="H13" s="12" t="n">
        <f aca="false">ROUND(G13/1.05*0.05,0)</f>
        <v>1273</v>
      </c>
      <c r="I13" s="12" t="n">
        <f aca="false">G13-H13</f>
        <v>25457</v>
      </c>
      <c r="J13" s="12" t="n">
        <f aca="false">ROUND(I13*0.15,0)</f>
        <v>3819</v>
      </c>
      <c r="K13" s="12" t="n">
        <f aca="false">I13-J13</f>
        <v>21638</v>
      </c>
    </row>
    <row r="14" customFormat="false" ht="15" hidden="false" customHeight="false" outlineLevel="0" collapsed="false">
      <c r="B14" s="30" t="s">
        <v>75</v>
      </c>
      <c r="C14" s="31" t="s">
        <v>68</v>
      </c>
      <c r="D14" s="21" t="s">
        <v>76</v>
      </c>
      <c r="E14" s="16" t="n">
        <v>9900</v>
      </c>
      <c r="F14" s="32" t="n">
        <v>3</v>
      </c>
      <c r="G14" s="18" t="n">
        <f aca="false">E14*F14</f>
        <v>29700</v>
      </c>
      <c r="H14" s="18" t="n">
        <f aca="false">ROUND(G14/1.05*0.05,0)</f>
        <v>1414</v>
      </c>
      <c r="I14" s="18" t="n">
        <f aca="false">G14-H14</f>
        <v>28286</v>
      </c>
      <c r="J14" s="18" t="n">
        <f aca="false">ROUND(I14*0.15,0)</f>
        <v>4243</v>
      </c>
      <c r="K14" s="18" t="n">
        <f aca="false">I14-J14</f>
        <v>24043</v>
      </c>
    </row>
    <row r="15" customFormat="false" ht="15" hidden="false" customHeight="false" outlineLevel="0" collapsed="false">
      <c r="B15" s="33" t="s">
        <v>77</v>
      </c>
      <c r="C15" s="34"/>
      <c r="D15" s="34"/>
      <c r="E15" s="34"/>
      <c r="F15" s="34"/>
      <c r="G15" s="35" t="n">
        <f aca="false">SUM(G11:G14)</f>
        <v>108405</v>
      </c>
      <c r="H15" s="35" t="n">
        <f aca="false">SUM(H11:H14)</f>
        <v>5162</v>
      </c>
      <c r="I15" s="35" t="n">
        <f aca="false">SUM(I11:I14)</f>
        <v>103243</v>
      </c>
      <c r="J15" s="35" t="n">
        <f aca="false">SUM(J11:J14)</f>
        <v>15487</v>
      </c>
      <c r="K15" s="35" t="n">
        <f aca="false">SUM(K11:K14)</f>
        <v>87756</v>
      </c>
    </row>
    <row r="17" customFormat="false" ht="15" hidden="false" customHeight="false" outlineLevel="0" collapsed="false">
      <c r="B17" s="24" t="s">
        <v>78</v>
      </c>
      <c r="C17" s="24"/>
      <c r="D17" s="24"/>
      <c r="E17" s="24"/>
      <c r="F17" s="24"/>
      <c r="G17" s="24"/>
      <c r="H17" s="24"/>
      <c r="I17" s="24"/>
      <c r="J17" s="24"/>
      <c r="K17" s="24"/>
    </row>
    <row r="18" customFormat="false" ht="39.75" hidden="false" customHeight="true" outlineLevel="0" collapsed="false">
      <c r="B18" s="7" t="s">
        <v>58</v>
      </c>
      <c r="C18" s="7" t="s">
        <v>79</v>
      </c>
      <c r="D18" s="36" t="s">
        <v>80</v>
      </c>
      <c r="E18" s="36" t="s">
        <v>81</v>
      </c>
      <c r="F18" s="36" t="s">
        <v>82</v>
      </c>
      <c r="G18" s="36" t="s">
        <v>83</v>
      </c>
      <c r="H18" s="36" t="s">
        <v>84</v>
      </c>
      <c r="I18" s="7" t="s">
        <v>85</v>
      </c>
      <c r="J18" s="7" t="s">
        <v>86</v>
      </c>
      <c r="K18" s="7" t="s">
        <v>87</v>
      </c>
    </row>
    <row r="19" customFormat="false" ht="15" hidden="false" customHeight="false" outlineLevel="0" collapsed="false">
      <c r="B19" s="27" t="s">
        <v>67</v>
      </c>
      <c r="C19" s="29" t="n">
        <v>21</v>
      </c>
      <c r="D19" s="29" t="n">
        <v>2</v>
      </c>
      <c r="E19" s="29" t="n">
        <v>4</v>
      </c>
      <c r="F19" s="29" t="n">
        <v>6</v>
      </c>
      <c r="G19" s="29" t="n">
        <v>5</v>
      </c>
      <c r="H19" s="29" t="n">
        <v>4</v>
      </c>
      <c r="I19" s="37" t="n">
        <f aca="false">D19*3+E19*2+F19*1.5+G19*1.2+H19*1</f>
        <v>33</v>
      </c>
      <c r="J19" s="38" t="n">
        <v>47.4</v>
      </c>
      <c r="K19" s="39" t="n">
        <f aca="false">I19/J19</f>
        <v>0.69620253164557</v>
      </c>
    </row>
    <row r="20" customFormat="false" ht="15" hidden="false" customHeight="false" outlineLevel="0" collapsed="false">
      <c r="B20" s="30" t="s">
        <v>70</v>
      </c>
      <c r="C20" s="32" t="n">
        <v>16</v>
      </c>
      <c r="D20" s="32" t="n">
        <v>1</v>
      </c>
      <c r="E20" s="32" t="n">
        <v>3</v>
      </c>
      <c r="F20" s="32" t="n">
        <v>5</v>
      </c>
      <c r="G20" s="32" t="n">
        <v>4</v>
      </c>
      <c r="H20" s="32" t="n">
        <v>3</v>
      </c>
      <c r="I20" s="40" t="n">
        <f aca="false">D20*3+E20*2+F20*1.5+G20*1.2+H20*1</f>
        <v>24.3</v>
      </c>
      <c r="J20" s="41" t="n">
        <v>44.6</v>
      </c>
      <c r="K20" s="42" t="n">
        <f aca="false">I20/J20</f>
        <v>0.544843049327354</v>
      </c>
    </row>
    <row r="21" customFormat="false" ht="15" hidden="false" customHeight="false" outlineLevel="0" collapsed="false">
      <c r="B21" s="27" t="s">
        <v>73</v>
      </c>
      <c r="C21" s="29" t="n">
        <v>13</v>
      </c>
      <c r="D21" s="29" t="n">
        <v>1</v>
      </c>
      <c r="E21" s="29" t="n">
        <v>2</v>
      </c>
      <c r="F21" s="29" t="n">
        <v>3</v>
      </c>
      <c r="G21" s="29" t="n">
        <v>3</v>
      </c>
      <c r="H21" s="29" t="n">
        <v>4</v>
      </c>
      <c r="I21" s="37" t="n">
        <f aca="false">D21*3+E21*2+F21*1.5+G21*1.2+H21*1</f>
        <v>19.1</v>
      </c>
      <c r="J21" s="38" t="n">
        <v>41.6</v>
      </c>
      <c r="K21" s="39" t="n">
        <f aca="false">I21/J21</f>
        <v>0.459134615384615</v>
      </c>
    </row>
    <row r="22" customFormat="false" ht="15" hidden="false" customHeight="false" outlineLevel="0" collapsed="false">
      <c r="B22" s="30" t="s">
        <v>75</v>
      </c>
      <c r="C22" s="32" t="n">
        <v>19</v>
      </c>
      <c r="D22" s="32" t="n">
        <v>2</v>
      </c>
      <c r="E22" s="32" t="n">
        <v>4</v>
      </c>
      <c r="F22" s="32" t="n">
        <v>5</v>
      </c>
      <c r="G22" s="32" t="n">
        <v>5</v>
      </c>
      <c r="H22" s="32" t="n">
        <v>3</v>
      </c>
      <c r="I22" s="40" t="n">
        <f aca="false">D22*3+E22*2+F22*1.5+G22*1.2+H22*1</f>
        <v>30.5</v>
      </c>
      <c r="J22" s="41" t="n">
        <v>47.4</v>
      </c>
      <c r="K22" s="42" t="n">
        <f aca="false">I22/J22</f>
        <v>0.643459915611814</v>
      </c>
    </row>
    <row r="24" customFormat="false" ht="15" hidden="false" customHeight="false" outlineLevel="0" collapsed="false">
      <c r="B24" s="24" t="s">
        <v>88</v>
      </c>
      <c r="C24" s="24"/>
      <c r="D24" s="24"/>
      <c r="E24" s="24"/>
      <c r="F24" s="24"/>
      <c r="G24" s="24"/>
      <c r="H24" s="24"/>
      <c r="I24" s="24"/>
      <c r="J24" s="24"/>
      <c r="K24" s="24"/>
    </row>
    <row r="25" customFormat="false" ht="39.75" hidden="false" customHeight="true" outlineLevel="0" collapsed="false">
      <c r="B25" s="7" t="s">
        <v>58</v>
      </c>
      <c r="C25" s="7" t="s">
        <v>89</v>
      </c>
      <c r="D25" s="7" t="s">
        <v>90</v>
      </c>
      <c r="E25" s="7" t="s">
        <v>91</v>
      </c>
      <c r="F25" s="7" t="s">
        <v>92</v>
      </c>
      <c r="G25" s="43"/>
      <c r="H25" s="43"/>
      <c r="I25" s="43"/>
      <c r="J25" s="43"/>
      <c r="K25" s="43"/>
    </row>
    <row r="26" customFormat="false" ht="15" hidden="false" customHeight="false" outlineLevel="0" collapsed="false">
      <c r="B26" s="27" t="s">
        <v>67</v>
      </c>
      <c r="C26" s="44" t="n">
        <f aca="false">K11</f>
        <v>20437</v>
      </c>
      <c r="D26" s="12" t="n">
        <f aca="false">ROUND(C26*0.75,0)</f>
        <v>15328</v>
      </c>
      <c r="E26" s="45" t="n">
        <f aca="false">K19</f>
        <v>0.69620253164557</v>
      </c>
      <c r="F26" s="13" t="n">
        <f aca="false">ROUND(D26*E26,0)</f>
        <v>10671</v>
      </c>
      <c r="G26" s="46"/>
      <c r="H26" s="46"/>
      <c r="I26" s="46"/>
      <c r="J26" s="46"/>
      <c r="K26" s="46"/>
    </row>
    <row r="27" customFormat="false" ht="15" hidden="false" customHeight="false" outlineLevel="0" collapsed="false">
      <c r="B27" s="30" t="s">
        <v>70</v>
      </c>
      <c r="C27" s="47" t="n">
        <f aca="false">K12</f>
        <v>21638</v>
      </c>
      <c r="D27" s="18" t="n">
        <f aca="false">ROUND(C27*0.75,0)</f>
        <v>16229</v>
      </c>
      <c r="E27" s="48" t="n">
        <f aca="false">K20</f>
        <v>0.544843049327354</v>
      </c>
      <c r="F27" s="19" t="n">
        <f aca="false">ROUND(D27*E27,0)</f>
        <v>8842</v>
      </c>
      <c r="G27" s="49"/>
      <c r="H27" s="49"/>
      <c r="I27" s="49"/>
      <c r="J27" s="49"/>
      <c r="K27" s="49"/>
    </row>
    <row r="28" customFormat="false" ht="15" hidden="false" customHeight="false" outlineLevel="0" collapsed="false">
      <c r="B28" s="27" t="s">
        <v>73</v>
      </c>
      <c r="C28" s="44" t="n">
        <f aca="false">K13</f>
        <v>21638</v>
      </c>
      <c r="D28" s="12" t="n">
        <f aca="false">ROUND(C28*0.75,0)</f>
        <v>16229</v>
      </c>
      <c r="E28" s="45" t="n">
        <f aca="false">K21</f>
        <v>0.459134615384615</v>
      </c>
      <c r="F28" s="13" t="n">
        <f aca="false">ROUND(D28*E28,0)</f>
        <v>7451</v>
      </c>
      <c r="G28" s="46"/>
      <c r="H28" s="46"/>
      <c r="I28" s="46"/>
      <c r="J28" s="46"/>
      <c r="K28" s="46"/>
    </row>
    <row r="29" customFormat="false" ht="15" hidden="false" customHeight="false" outlineLevel="0" collapsed="false">
      <c r="B29" s="30" t="s">
        <v>75</v>
      </c>
      <c r="C29" s="47" t="n">
        <f aca="false">K14</f>
        <v>24043</v>
      </c>
      <c r="D29" s="18" t="n">
        <f aca="false">ROUND(C29*0.75,0)</f>
        <v>18032</v>
      </c>
      <c r="E29" s="48" t="n">
        <f aca="false">K22</f>
        <v>0.643459915611814</v>
      </c>
      <c r="F29" s="19" t="n">
        <f aca="false">ROUND(D29*E29,0)</f>
        <v>11603</v>
      </c>
      <c r="G29" s="49"/>
      <c r="H29" s="49"/>
      <c r="I29" s="49"/>
      <c r="J29" s="49"/>
      <c r="K29" s="49"/>
    </row>
    <row r="30" customFormat="false" ht="15" hidden="false" customHeight="false" outlineLevel="0" collapsed="false">
      <c r="B30" s="33" t="s">
        <v>77</v>
      </c>
      <c r="C30" s="35" t="n">
        <f aca="false">SUM(C26:C29)</f>
        <v>87756</v>
      </c>
      <c r="D30" s="35" t="n">
        <f aca="false">SUM(D26:D29)</f>
        <v>65818</v>
      </c>
      <c r="E30" s="33"/>
      <c r="F30" s="35" t="n">
        <f aca="false">SUM(F26:F29)</f>
        <v>38567</v>
      </c>
      <c r="G30" s="34"/>
      <c r="H30" s="34"/>
      <c r="I30" s="34"/>
      <c r="J30" s="34"/>
      <c r="K30" s="34"/>
    </row>
    <row r="32" customFormat="false" ht="15" hidden="false" customHeight="false" outlineLevel="0" collapsed="false">
      <c r="B32" s="50" t="s">
        <v>93</v>
      </c>
      <c r="C32" s="50"/>
      <c r="D32" s="50"/>
      <c r="E32" s="50"/>
      <c r="F32" s="50"/>
      <c r="G32" s="50"/>
      <c r="H32" s="50"/>
      <c r="I32" s="50"/>
      <c r="J32" s="50"/>
      <c r="K32" s="50"/>
    </row>
    <row r="33" customFormat="false" ht="17.35" hidden="false" customHeight="false" outlineLevel="0" collapsed="false">
      <c r="B33" s="51" t="s">
        <v>94</v>
      </c>
      <c r="C33" s="52"/>
      <c r="D33" s="52"/>
      <c r="E33" s="53" t="n">
        <f aca="false">F30</f>
        <v>38567</v>
      </c>
      <c r="F33" s="53"/>
      <c r="G33" s="54" t="s">
        <v>95</v>
      </c>
      <c r="H33" s="52"/>
      <c r="I33" s="52"/>
      <c r="J33" s="52"/>
      <c r="K33" s="52"/>
    </row>
    <row r="34" customFormat="false" ht="15" hidden="false" customHeight="false" outlineLevel="0" collapsed="false">
      <c r="B34" s="55" t="s">
        <v>96</v>
      </c>
      <c r="C34" s="46"/>
      <c r="D34" s="46"/>
      <c r="E34" s="12" t="n">
        <f aca="false">ROUND(E33/1.05,0)</f>
        <v>36730</v>
      </c>
      <c r="F34" s="12"/>
      <c r="G34" s="56" t="s">
        <v>97</v>
      </c>
      <c r="H34" s="46"/>
      <c r="I34" s="46"/>
      <c r="J34" s="46"/>
      <c r="K34" s="46"/>
    </row>
    <row r="35" customFormat="false" ht="15" hidden="false" customHeight="false" outlineLevel="0" collapsed="false">
      <c r="B35" s="55" t="s">
        <v>98</v>
      </c>
      <c r="C35" s="46"/>
      <c r="D35" s="46"/>
      <c r="E35" s="12" t="n">
        <f aca="false">E33-E34</f>
        <v>1837</v>
      </c>
      <c r="F35" s="12"/>
      <c r="G35" s="56" t="s">
        <v>99</v>
      </c>
      <c r="H35" s="46"/>
      <c r="I35" s="46"/>
      <c r="J35" s="46"/>
      <c r="K35" s="46"/>
    </row>
    <row r="37" customFormat="false" ht="15" hidden="false" customHeight="false" outlineLevel="0" collapsed="false">
      <c r="B37" s="57" t="s">
        <v>100</v>
      </c>
      <c r="C37" s="58"/>
      <c r="D37" s="58"/>
      <c r="E37" s="59" t="n">
        <f aca="false">全期季度總覽!G14</f>
        <v>38567</v>
      </c>
      <c r="F37" s="59"/>
      <c r="G37" s="58"/>
      <c r="H37" s="58"/>
      <c r="I37" s="58"/>
      <c r="J37" s="58"/>
      <c r="K37" s="58"/>
    </row>
    <row r="38" customFormat="false" ht="15" hidden="false" customHeight="false" outlineLevel="0" collapsed="false">
      <c r="B38" s="57" t="s">
        <v>101</v>
      </c>
      <c r="C38" s="58"/>
      <c r="D38" s="58"/>
      <c r="E38" s="60" t="n">
        <f aca="false">E33-E37</f>
        <v>0</v>
      </c>
      <c r="F38" s="60"/>
      <c r="G38" s="58"/>
      <c r="H38" s="58"/>
      <c r="I38" s="58"/>
      <c r="J38" s="58"/>
      <c r="K38" s="58"/>
    </row>
    <row r="39" customFormat="false" ht="15" hidden="false" customHeight="false" outlineLevel="0" collapsed="false">
      <c r="B39" s="57" t="s">
        <v>102</v>
      </c>
      <c r="C39" s="58"/>
      <c r="D39" s="58"/>
      <c r="E39" s="61" t="str">
        <f aca="false">IF(E38=0,"✓ 驗證通過","✗ 數據不一致，請檢查")</f>
        <v>✓ 驗證通過</v>
      </c>
      <c r="F39" s="61"/>
      <c r="G39" s="61"/>
      <c r="H39" s="61"/>
      <c r="I39" s="58"/>
      <c r="J39" s="58"/>
      <c r="K39" s="58"/>
    </row>
    <row r="41" customFormat="false" ht="22.35" hidden="false" customHeight="true" outlineLevel="0" collapsed="false">
      <c r="B41" s="26" t="s">
        <v>103</v>
      </c>
      <c r="C41" s="26"/>
      <c r="D41" s="26"/>
      <c r="E41" s="26"/>
      <c r="F41" s="26"/>
      <c r="G41" s="26"/>
      <c r="H41" s="26"/>
      <c r="I41" s="26"/>
      <c r="J41" s="26"/>
      <c r="K41" s="26"/>
    </row>
    <row r="42" customFormat="false" ht="15" hidden="false" customHeight="true" outlineLevel="0" collapsed="false">
      <c r="B42" s="26" t="s">
        <v>104</v>
      </c>
      <c r="C42" s="26"/>
      <c r="D42" s="26"/>
      <c r="E42" s="26"/>
      <c r="F42" s="26"/>
      <c r="G42" s="26"/>
      <c r="H42" s="26"/>
      <c r="I42" s="26"/>
      <c r="J42" s="26"/>
      <c r="K42" s="26"/>
    </row>
  </sheetData>
  <mergeCells count="19">
    <mergeCell ref="B1:K1"/>
    <mergeCell ref="B2:K2"/>
    <mergeCell ref="C4:E4"/>
    <mergeCell ref="C5:E5"/>
    <mergeCell ref="C6:E6"/>
    <mergeCell ref="C7:E7"/>
    <mergeCell ref="B9:K9"/>
    <mergeCell ref="B17:K17"/>
    <mergeCell ref="B24:K24"/>
    <mergeCell ref="G25:K25"/>
    <mergeCell ref="B32:K32"/>
    <mergeCell ref="E33:F33"/>
    <mergeCell ref="E34:F34"/>
    <mergeCell ref="E35:F35"/>
    <mergeCell ref="E37:F37"/>
    <mergeCell ref="E38:F38"/>
    <mergeCell ref="E39:H39"/>
    <mergeCell ref="B41:K41"/>
    <mergeCell ref="B42:K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B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5" min="3" style="0" width="20"/>
    <col collapsed="false" customWidth="true" hidden="false" outlineLevel="0" max="6" min="6" style="0" width="3"/>
  </cols>
  <sheetData>
    <row r="1" customFormat="false" ht="31.5" hidden="false" customHeight="true" outlineLevel="0" collapsed="false">
      <c r="B1" s="62" t="s">
        <v>105</v>
      </c>
      <c r="C1" s="62"/>
      <c r="D1" s="62"/>
      <c r="E1" s="62"/>
    </row>
    <row r="2" customFormat="false" ht="15" hidden="false" customHeight="false" outlineLevel="0" collapsed="false">
      <c r="B2" s="63" t="s">
        <v>106</v>
      </c>
      <c r="C2" s="63"/>
      <c r="D2" s="63"/>
      <c r="E2" s="63"/>
    </row>
    <row r="4" customFormat="false" ht="15" hidden="false" customHeight="false" outlineLevel="0" collapsed="false">
      <c r="B4" s="64" t="s">
        <v>107</v>
      </c>
      <c r="C4" s="64"/>
      <c r="D4" s="64"/>
      <c r="E4" s="64"/>
    </row>
    <row r="5" customFormat="false" ht="15" hidden="false" customHeight="false" outlineLevel="0" collapsed="false">
      <c r="B5" s="4" t="s">
        <v>108</v>
      </c>
      <c r="C5" s="5" t="s">
        <v>109</v>
      </c>
      <c r="D5" s="5"/>
      <c r="E5" s="5"/>
    </row>
    <row r="6" customFormat="false" ht="15" hidden="false" customHeight="false" outlineLevel="0" collapsed="false">
      <c r="B6" s="4" t="s">
        <v>110</v>
      </c>
      <c r="C6" s="5" t="s">
        <v>111</v>
      </c>
      <c r="D6" s="5"/>
      <c r="E6" s="5"/>
    </row>
    <row r="7" customFormat="false" ht="15" hidden="false" customHeight="false" outlineLevel="0" collapsed="false">
      <c r="B7" s="4" t="s">
        <v>112</v>
      </c>
      <c r="C7" s="5" t="s">
        <v>113</v>
      </c>
      <c r="D7" s="5"/>
      <c r="E7" s="5"/>
    </row>
    <row r="9" customFormat="false" ht="15" hidden="false" customHeight="false" outlineLevel="0" collapsed="false">
      <c r="B9" s="64" t="s">
        <v>114</v>
      </c>
      <c r="C9" s="64"/>
      <c r="D9" s="64"/>
      <c r="E9" s="64"/>
    </row>
    <row r="10" customFormat="false" ht="15" hidden="false" customHeight="false" outlineLevel="0" collapsed="false">
      <c r="B10" s="4" t="s">
        <v>108</v>
      </c>
      <c r="C10" s="5" t="s">
        <v>115</v>
      </c>
      <c r="D10" s="5"/>
      <c r="E10" s="5"/>
    </row>
    <row r="11" customFormat="false" ht="15" hidden="false" customHeight="false" outlineLevel="0" collapsed="false">
      <c r="B11" s="4" t="s">
        <v>110</v>
      </c>
      <c r="C11" s="6" t="s">
        <v>116</v>
      </c>
      <c r="D11" s="6"/>
      <c r="E11" s="6"/>
    </row>
    <row r="12" customFormat="false" ht="15" hidden="false" customHeight="false" outlineLevel="0" collapsed="false">
      <c r="B12" s="4" t="s">
        <v>117</v>
      </c>
      <c r="C12" s="5"/>
      <c r="D12" s="5"/>
      <c r="E12" s="5"/>
    </row>
    <row r="13" customFormat="false" ht="15" hidden="false" customHeight="false" outlineLevel="0" collapsed="false">
      <c r="B13" s="4" t="s">
        <v>118</v>
      </c>
      <c r="C13" s="5"/>
      <c r="D13" s="5"/>
      <c r="E13" s="5"/>
    </row>
    <row r="14" customFormat="false" ht="15" hidden="false" customHeight="false" outlineLevel="0" collapsed="false">
      <c r="B14" s="4" t="s">
        <v>119</v>
      </c>
      <c r="C14" s="5"/>
      <c r="D14" s="5"/>
      <c r="E14" s="5"/>
    </row>
    <row r="16" customFormat="false" ht="15" hidden="false" customHeight="false" outlineLevel="0" collapsed="false">
      <c r="B16" s="64" t="s">
        <v>120</v>
      </c>
      <c r="C16" s="64"/>
      <c r="D16" s="64"/>
      <c r="E16" s="64"/>
    </row>
    <row r="17" customFormat="false" ht="15" hidden="false" customHeight="false" outlineLevel="0" collapsed="false">
      <c r="B17" s="65" t="s">
        <v>121</v>
      </c>
      <c r="C17" s="65" t="s">
        <v>122</v>
      </c>
      <c r="D17" s="65" t="s">
        <v>123</v>
      </c>
      <c r="E17" s="65" t="s">
        <v>124</v>
      </c>
    </row>
    <row r="18" customFormat="false" ht="17.35" hidden="false" customHeight="false" outlineLevel="0" collapsed="false">
      <c r="B18" s="66" t="s">
        <v>125</v>
      </c>
      <c r="C18" s="67" t="s">
        <v>126</v>
      </c>
      <c r="D18" s="53" t="n">
        <f aca="false">'Q4Y1 分潤明細'!E33</f>
        <v>38567</v>
      </c>
      <c r="E18" s="54" t="s">
        <v>127</v>
      </c>
    </row>
    <row r="19" customFormat="false" ht="15" hidden="false" customHeight="false" outlineLevel="0" collapsed="false">
      <c r="B19" s="68" t="s">
        <v>128</v>
      </c>
      <c r="C19" s="68" t="s">
        <v>129</v>
      </c>
      <c r="D19" s="12" t="n">
        <f aca="false">ROUND(D18/1.05,0)</f>
        <v>36730</v>
      </c>
      <c r="E19" s="56" t="s">
        <v>97</v>
      </c>
    </row>
    <row r="20" customFormat="false" ht="15" hidden="false" customHeight="false" outlineLevel="0" collapsed="false">
      <c r="B20" s="68" t="s">
        <v>130</v>
      </c>
      <c r="C20" s="68" t="s">
        <v>131</v>
      </c>
      <c r="D20" s="12" t="n">
        <f aca="false">D18-D19</f>
        <v>1837</v>
      </c>
      <c r="E20" s="56" t="s">
        <v>132</v>
      </c>
    </row>
    <row r="22" customFormat="false" ht="15" hidden="false" customHeight="false" outlineLevel="0" collapsed="false">
      <c r="B22" s="64" t="s">
        <v>133</v>
      </c>
      <c r="C22" s="64"/>
      <c r="D22" s="64"/>
      <c r="E22" s="64"/>
    </row>
    <row r="23" customFormat="false" ht="15" hidden="false" customHeight="false" outlineLevel="0" collapsed="false">
      <c r="B23" s="68" t="s">
        <v>134</v>
      </c>
      <c r="C23" s="68" t="s">
        <v>135</v>
      </c>
      <c r="D23" s="44" t="n">
        <f aca="false">'Q4Y1 分潤明細'!E33</f>
        <v>38567</v>
      </c>
      <c r="E23" s="56" t="s">
        <v>136</v>
      </c>
    </row>
    <row r="24" customFormat="false" ht="15" hidden="false" customHeight="false" outlineLevel="0" collapsed="false">
      <c r="B24" s="68" t="s">
        <v>137</v>
      </c>
      <c r="C24" s="68" t="s">
        <v>138</v>
      </c>
      <c r="D24" s="69" t="n">
        <f aca="false">D18-D23</f>
        <v>0</v>
      </c>
      <c r="E24" s="68"/>
    </row>
    <row r="25" customFormat="false" ht="15" hidden="false" customHeight="false" outlineLevel="0" collapsed="false">
      <c r="B25" s="68" t="s">
        <v>102</v>
      </c>
      <c r="C25" s="70" t="str">
        <f aca="false">IF(D24=0,"✓ 驗證通過","✗ 數據不一致，請檢查")</f>
        <v>✓ 驗證通過</v>
      </c>
      <c r="D25" s="70"/>
    </row>
    <row r="27" customFormat="false" ht="15" hidden="false" customHeight="false" outlineLevel="0" collapsed="false">
      <c r="B27" s="64" t="s">
        <v>139</v>
      </c>
      <c r="C27" s="64"/>
      <c r="D27" s="64"/>
      <c r="E27" s="64"/>
    </row>
    <row r="28" customFormat="false" ht="15" hidden="false" customHeight="false" outlineLevel="0" collapsed="false">
      <c r="B28" s="4" t="s">
        <v>140</v>
      </c>
      <c r="C28" s="5"/>
      <c r="D28" s="5"/>
      <c r="E28" s="5"/>
    </row>
    <row r="29" customFormat="false" ht="15" hidden="false" customHeight="false" outlineLevel="0" collapsed="false">
      <c r="B29" s="4" t="s">
        <v>141</v>
      </c>
      <c r="C29" s="5"/>
      <c r="D29" s="5"/>
      <c r="E29" s="5"/>
    </row>
    <row r="30" customFormat="false" ht="15" hidden="false" customHeight="false" outlineLevel="0" collapsed="false">
      <c r="B30" s="4" t="s">
        <v>142</v>
      </c>
      <c r="C30" s="5"/>
      <c r="D30" s="5"/>
      <c r="E30" s="5"/>
    </row>
    <row r="31" customFormat="false" ht="15" hidden="false" customHeight="false" outlineLevel="0" collapsed="false">
      <c r="B31" s="4" t="s">
        <v>143</v>
      </c>
      <c r="C31" s="5"/>
      <c r="D31" s="5"/>
      <c r="E31" s="5"/>
    </row>
    <row r="32" customFormat="false" ht="15" hidden="false" customHeight="false" outlineLevel="0" collapsed="false">
      <c r="B32" s="4" t="s">
        <v>144</v>
      </c>
      <c r="C32" s="5"/>
      <c r="D32" s="5"/>
      <c r="E32" s="5"/>
    </row>
    <row r="34" customFormat="false" ht="15" hidden="false" customHeight="true" outlineLevel="0" collapsed="false">
      <c r="B34" s="26" t="s">
        <v>145</v>
      </c>
      <c r="C34" s="26"/>
      <c r="D34" s="26"/>
      <c r="E34" s="26"/>
    </row>
    <row r="36" customFormat="false" ht="15" hidden="false" customHeight="false" outlineLevel="0" collapsed="false">
      <c r="B36" s="71" t="s">
        <v>109</v>
      </c>
      <c r="D36" s="71" t="s">
        <v>146</v>
      </c>
    </row>
    <row r="37" customFormat="false" ht="15" hidden="false" customHeight="false" outlineLevel="0" collapsed="false">
      <c r="B37" s="72" t="s">
        <v>147</v>
      </c>
      <c r="D37" s="72" t="s">
        <v>148</v>
      </c>
    </row>
    <row r="38" customFormat="false" ht="15" hidden="false" customHeight="false" outlineLevel="0" collapsed="false">
      <c r="B38" s="72" t="s">
        <v>149</v>
      </c>
      <c r="D38" s="72" t="s">
        <v>150</v>
      </c>
    </row>
  </sheetData>
  <mergeCells count="22">
    <mergeCell ref="B1:E1"/>
    <mergeCell ref="B2:E2"/>
    <mergeCell ref="B4:E4"/>
    <mergeCell ref="C5:E5"/>
    <mergeCell ref="C6:E6"/>
    <mergeCell ref="C7:E7"/>
    <mergeCell ref="B9:E9"/>
    <mergeCell ref="C10:E10"/>
    <mergeCell ref="C11:E11"/>
    <mergeCell ref="C12:E12"/>
    <mergeCell ref="C13:E13"/>
    <mergeCell ref="C14:E14"/>
    <mergeCell ref="B16:E16"/>
    <mergeCell ref="B22:E22"/>
    <mergeCell ref="C25:D25"/>
    <mergeCell ref="B27:E27"/>
    <mergeCell ref="C28:E28"/>
    <mergeCell ref="C29:E29"/>
    <mergeCell ref="C30:E30"/>
    <mergeCell ref="C31:E31"/>
    <mergeCell ref="C32:E32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2026-03-27T18:26:21Z</dcterms:created>
  <dc:creator>openpyxl</dc:creator>
  <dc:description/>
  <dc:language>en-US</dc:language>
  <cp:lastModifiedBy/>
  <dcterms:modified xsi:type="dcterms:W3CDTF">2026-03-27T18:26:21Z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